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mc:AlternateContent xmlns:mc="http://schemas.openxmlformats.org/markup-compatibility/2006">
    <mc:Choice Requires="x15">
      <x15ac:absPath xmlns:x15ac="http://schemas.microsoft.com/office/spreadsheetml/2010/11/ac" url="C:\Users\NIGOJ\OneDrive\Desktop\NICO\MAF\Semestre 1\Matemáticas Financieras\"/>
    </mc:Choice>
  </mc:AlternateContent>
  <xr:revisionPtr revIDLastSave="0" documentId="13_ncr:1_{E546F470-CA71-4CE1-804C-0E248E0EABB9}" xr6:coauthVersionLast="47" xr6:coauthVersionMax="47" xr10:uidLastSave="{00000000-0000-0000-0000-000000000000}"/>
  <bookViews>
    <workbookView xWindow="-108" yWindow="-108" windowWidth="23256" windowHeight="12456" xr2:uid="{00000000-000D-0000-FFFF-FFFF00000000}"/>
  </bookViews>
  <sheets>
    <sheet name="Punto 1" sheetId="1" r:id="rId1"/>
    <sheet name="Punto 2" sheetId="2" r:id="rId2"/>
    <sheet name="Punto 3" sheetId="3" r:id="rId3"/>
    <sheet name="Punto 4" sheetId="4"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 i="4" l="1"/>
  <c r="L11" i="4"/>
  <c r="N11" i="4"/>
  <c r="K12" i="4"/>
  <c r="N12" i="4"/>
  <c r="K13" i="4"/>
  <c r="N13" i="4"/>
  <c r="K14" i="4"/>
  <c r="N14" i="4"/>
  <c r="K15" i="4"/>
  <c r="N15" i="4"/>
  <c r="K16" i="4"/>
  <c r="N16" i="4"/>
  <c r="K17" i="4"/>
  <c r="N17" i="4"/>
  <c r="K18" i="4"/>
  <c r="N18" i="4"/>
  <c r="K19" i="4"/>
  <c r="N19" i="4"/>
  <c r="K20" i="4"/>
  <c r="N20" i="4"/>
  <c r="K21" i="4"/>
  <c r="N21" i="4"/>
  <c r="K22" i="4"/>
  <c r="N22" i="4"/>
  <c r="K23" i="4"/>
  <c r="N23" i="4"/>
  <c r="K24" i="4"/>
  <c r="N24" i="4"/>
  <c r="K25" i="4"/>
  <c r="N25" i="4"/>
  <c r="K26" i="4"/>
  <c r="N26" i="4"/>
  <c r="K27" i="4"/>
  <c r="N27" i="4"/>
  <c r="K28" i="4"/>
  <c r="N28" i="4"/>
  <c r="K29" i="4"/>
  <c r="N29" i="4"/>
  <c r="K30" i="4"/>
  <c r="N30" i="4"/>
  <c r="K31" i="4"/>
  <c r="N31" i="4"/>
  <c r="K32" i="4"/>
  <c r="N32" i="4"/>
  <c r="K33" i="4"/>
  <c r="N33" i="4"/>
  <c r="K34" i="4"/>
  <c r="N34" i="4"/>
  <c r="K35" i="4"/>
  <c r="N35" i="4"/>
  <c r="K36" i="4"/>
  <c r="N36" i="4"/>
  <c r="K37" i="4"/>
  <c r="N37" i="4"/>
  <c r="K38" i="4"/>
  <c r="N38" i="4"/>
  <c r="K39" i="4"/>
  <c r="N39" i="4"/>
  <c r="K40" i="4"/>
  <c r="N40" i="4"/>
  <c r="K41" i="4"/>
  <c r="N41" i="4"/>
  <c r="K42" i="4"/>
  <c r="N42" i="4"/>
  <c r="K43" i="4"/>
  <c r="N43" i="4"/>
  <c r="K44" i="4"/>
  <c r="N44" i="4"/>
  <c r="K45" i="4"/>
  <c r="N45" i="4"/>
  <c r="K46" i="4"/>
  <c r="N46" i="4"/>
  <c r="K47" i="4"/>
  <c r="N47" i="4"/>
  <c r="K48" i="4"/>
  <c r="N48" i="4"/>
  <c r="K49" i="4"/>
  <c r="N49" i="4"/>
  <c r="K50" i="4"/>
  <c r="N50" i="4"/>
  <c r="K51" i="4"/>
  <c r="N51" i="4"/>
  <c r="K52" i="4"/>
  <c r="N52" i="4"/>
  <c r="K53" i="4"/>
  <c r="N53" i="4"/>
  <c r="K54"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O3" i="4"/>
  <c r="F10" i="4"/>
  <c r="L3" i="4"/>
  <c r="C5" i="4"/>
  <c r="L4" i="4" s="1"/>
  <c r="M11" i="4" l="1"/>
  <c r="O11" i="4" s="1"/>
  <c r="L12" i="4" s="1"/>
  <c r="D10"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11" i="4"/>
  <c r="F12" i="4"/>
  <c r="F13" i="4"/>
  <c r="F14" i="4"/>
  <c r="F15" i="4"/>
  <c r="F16" i="4"/>
  <c r="F17" i="4"/>
  <c r="F18" i="4"/>
  <c r="F19" i="4"/>
  <c r="F20" i="4"/>
  <c r="F21" i="4"/>
  <c r="F22" i="4"/>
  <c r="F23" i="4"/>
  <c r="F24" i="4"/>
  <c r="F25" i="4"/>
  <c r="F26" i="4"/>
  <c r="H10" i="4"/>
  <c r="D11" i="4" s="1"/>
  <c r="O10" i="4"/>
  <c r="G9" i="4"/>
  <c r="C10" i="4" s="1"/>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11" i="3"/>
  <c r="M12" i="4" l="1"/>
  <c r="O12" i="4" s="1"/>
  <c r="L13" i="4" s="1"/>
  <c r="M13" i="4" s="1"/>
  <c r="O13" i="4" s="1"/>
  <c r="H11" i="4"/>
  <c r="D12" i="4" s="1"/>
  <c r="E10" i="4"/>
  <c r="G10" i="4" s="1"/>
  <c r="L14" i="4" l="1"/>
  <c r="M14" i="4" s="1"/>
  <c r="O14" i="4" s="1"/>
  <c r="H12" i="4"/>
  <c r="H13" i="4" s="1"/>
  <c r="C11" i="4"/>
  <c r="E11" i="4" l="1"/>
  <c r="G11" i="4" s="1"/>
  <c r="L15" i="4"/>
  <c r="D13" i="4"/>
  <c r="H14" i="4"/>
  <c r="D14" i="4"/>
  <c r="C12" i="4"/>
  <c r="M15" i="4" l="1"/>
  <c r="O15" i="4" s="1"/>
  <c r="L16" i="4"/>
  <c r="M16" i="4" s="1"/>
  <c r="O16" i="4" s="1"/>
  <c r="H15" i="4"/>
  <c r="D15" i="4"/>
  <c r="E12" i="4"/>
  <c r="G12" i="4" s="1"/>
  <c r="L17" i="4" l="1"/>
  <c r="M17" i="4" s="1"/>
  <c r="O17" i="4" s="1"/>
  <c r="H16" i="4"/>
  <c r="D16" i="4"/>
  <c r="C13" i="4"/>
  <c r="L18" i="4" l="1"/>
  <c r="M18" i="4" s="1"/>
  <c r="O18" i="4" s="1"/>
  <c r="H17" i="4"/>
  <c r="D17" i="4"/>
  <c r="E13" i="4"/>
  <c r="G13" i="4" s="1"/>
  <c r="L19" i="4" l="1"/>
  <c r="M19" i="4" s="1"/>
  <c r="O19" i="4" s="1"/>
  <c r="H18" i="4"/>
  <c r="D18" i="4"/>
  <c r="C14" i="4"/>
  <c r="L20" i="4" l="1"/>
  <c r="M20" i="4" s="1"/>
  <c r="O20" i="4" s="1"/>
  <c r="H19" i="4"/>
  <c r="D19" i="4"/>
  <c r="E14" i="4"/>
  <c r="G14" i="4" s="1"/>
  <c r="C15" i="4" s="1"/>
  <c r="L21" i="4" l="1"/>
  <c r="M21" i="4" s="1"/>
  <c r="O21" i="4" s="1"/>
  <c r="H20" i="4"/>
  <c r="D20" i="4"/>
  <c r="E15" i="4"/>
  <c r="G15" i="4" s="1"/>
  <c r="C16" i="4" s="1"/>
  <c r="L22" i="4" l="1"/>
  <c r="M22" i="4" s="1"/>
  <c r="O22" i="4" s="1"/>
  <c r="H21" i="4"/>
  <c r="D21" i="4"/>
  <c r="E16" i="4"/>
  <c r="G16" i="4" s="1"/>
  <c r="C17" i="4" s="1"/>
  <c r="E17" i="4" s="1"/>
  <c r="G17" i="4" s="1"/>
  <c r="L23" i="4" l="1"/>
  <c r="M23" i="4" s="1"/>
  <c r="O23" i="4" s="1"/>
  <c r="H22" i="4"/>
  <c r="C18" i="4"/>
  <c r="E18" i="4" s="1"/>
  <c r="G18" i="4" s="1"/>
  <c r="L24" i="4" l="1"/>
  <c r="M24" i="4" s="1"/>
  <c r="O24" i="4" s="1"/>
  <c r="H23" i="4"/>
  <c r="C19" i="4"/>
  <c r="E19" i="4" s="1"/>
  <c r="G19" i="4" s="1"/>
  <c r="L25" i="4" l="1"/>
  <c r="M25" i="4" s="1"/>
  <c r="O25" i="4" s="1"/>
  <c r="H24" i="4"/>
  <c r="C20" i="4"/>
  <c r="L26" i="4" l="1"/>
  <c r="M26" i="4" s="1"/>
  <c r="O26" i="4" s="1"/>
  <c r="H25" i="4"/>
  <c r="E20" i="4"/>
  <c r="G20" i="4" s="1"/>
  <c r="L27" i="4" l="1"/>
  <c r="M27" i="4" s="1"/>
  <c r="O27" i="4" s="1"/>
  <c r="H26" i="4"/>
  <c r="C21" i="4"/>
  <c r="E21" i="4" s="1"/>
  <c r="G21" i="4" s="1"/>
  <c r="D22" i="4" s="1"/>
  <c r="L28" i="4" l="1"/>
  <c r="M28" i="4" s="1"/>
  <c r="O28" i="4" s="1"/>
  <c r="H27" i="4"/>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H53" i="4" s="1"/>
  <c r="H54" i="4" s="1"/>
  <c r="H55" i="4" s="1"/>
  <c r="H56" i="4" s="1"/>
  <c r="H57" i="4" s="1"/>
  <c r="H58" i="4" s="1"/>
  <c r="H59" i="4" s="1"/>
  <c r="H60" i="4" s="1"/>
  <c r="H61" i="4" s="1"/>
  <c r="H62" i="4" s="1"/>
  <c r="H63" i="4" s="1"/>
  <c r="H64" i="4" s="1"/>
  <c r="H65" i="4" s="1"/>
  <c r="H66" i="4" s="1"/>
  <c r="H67" i="4" s="1"/>
  <c r="H68" i="4" s="1"/>
  <c r="H69" i="4" s="1"/>
  <c r="H70" i="4" s="1"/>
  <c r="H71" i="4" s="1"/>
  <c r="H72" i="4" s="1"/>
  <c r="H73" i="4" s="1"/>
  <c r="H74" i="4" s="1"/>
  <c r="H75" i="4" s="1"/>
  <c r="H76" i="4" s="1"/>
  <c r="H77" i="4" s="1"/>
  <c r="H78" i="4" s="1"/>
  <c r="H79" i="4" s="1"/>
  <c r="H80" i="4" s="1"/>
  <c r="H81" i="4" s="1"/>
  <c r="H82" i="4" s="1"/>
  <c r="H83" i="4" s="1"/>
  <c r="H84" i="4" s="1"/>
  <c r="H85" i="4" s="1"/>
  <c r="H86" i="4" s="1"/>
  <c r="H87" i="4" s="1"/>
  <c r="H88" i="4" s="1"/>
  <c r="H89" i="4" s="1"/>
  <c r="C22" i="4"/>
  <c r="E22" i="4" s="1"/>
  <c r="G22" i="4" s="1"/>
  <c r="D23" i="4" s="1"/>
  <c r="L29" i="4" l="1"/>
  <c r="M29" i="4" s="1"/>
  <c r="O29" i="4" s="1"/>
  <c r="L5" i="4"/>
  <c r="L6" i="4" s="1"/>
  <c r="H90" i="4"/>
  <c r="C23" i="4"/>
  <c r="E23" i="4" s="1"/>
  <c r="G23" i="4" s="1"/>
  <c r="D24" i="4" s="1"/>
  <c r="L30" i="4" l="1"/>
  <c r="M30" i="4" s="1"/>
  <c r="O30" i="4" s="1"/>
  <c r="H91" i="4"/>
  <c r="C24" i="4"/>
  <c r="E24" i="4" s="1"/>
  <c r="G24" i="4" s="1"/>
  <c r="D25" i="4" s="1"/>
  <c r="L31" i="4" l="1"/>
  <c r="M31" i="4" s="1"/>
  <c r="O31" i="4" s="1"/>
  <c r="H92" i="4"/>
  <c r="C25" i="4"/>
  <c r="L32" i="4" l="1"/>
  <c r="M32" i="4" s="1"/>
  <c r="O32" i="4" s="1"/>
  <c r="H93" i="4"/>
  <c r="E25" i="4"/>
  <c r="G25" i="4" s="1"/>
  <c r="C26" i="4" l="1"/>
  <c r="D26" i="4"/>
  <c r="L33" i="4"/>
  <c r="M33" i="4" s="1"/>
  <c r="O33" i="4" s="1"/>
  <c r="H94" i="4"/>
  <c r="E26" i="4"/>
  <c r="G26" i="4" s="1"/>
  <c r="C27" i="4" l="1"/>
  <c r="D27" i="4"/>
  <c r="L34" i="4"/>
  <c r="M34" i="4" s="1"/>
  <c r="O34" i="4" s="1"/>
  <c r="H95" i="4"/>
  <c r="E27" i="4" l="1"/>
  <c r="G27" i="4" s="1"/>
  <c r="L35" i="4"/>
  <c r="M35" i="4" s="1"/>
  <c r="O35" i="4" s="1"/>
  <c r="H96" i="4"/>
  <c r="D28" i="4" l="1"/>
  <c r="C28" i="4"/>
  <c r="F7" i="4"/>
  <c r="L36" i="4"/>
  <c r="M36" i="4" s="1"/>
  <c r="O36" i="4" s="1"/>
  <c r="H97" i="4"/>
  <c r="E28" i="4" l="1"/>
  <c r="G28" i="4" s="1"/>
  <c r="L37" i="4"/>
  <c r="M37" i="4" s="1"/>
  <c r="O37" i="4" s="1"/>
  <c r="H98" i="4"/>
  <c r="D29" i="4" l="1"/>
  <c r="C29" i="4"/>
  <c r="L38" i="4"/>
  <c r="M38" i="4" s="1"/>
  <c r="O38" i="4" s="1"/>
  <c r="H99" i="4"/>
  <c r="E29" i="4" l="1"/>
  <c r="G29" i="4" s="1"/>
  <c r="L39" i="4"/>
  <c r="M39" i="4" s="1"/>
  <c r="O39" i="4" s="1"/>
  <c r="H100" i="4"/>
  <c r="D30" i="4" l="1"/>
  <c r="C30" i="4"/>
  <c r="E30" i="4" s="1"/>
  <c r="G30" i="4" s="1"/>
  <c r="L40" i="4"/>
  <c r="M40" i="4" s="1"/>
  <c r="O40" i="4" s="1"/>
  <c r="H101" i="4"/>
  <c r="D31" i="4" l="1"/>
  <c r="C31" i="4"/>
  <c r="E31" i="4" s="1"/>
  <c r="G31" i="4" s="1"/>
  <c r="L41" i="4"/>
  <c r="M41" i="4" s="1"/>
  <c r="O41" i="4" s="1"/>
  <c r="H102" i="4"/>
  <c r="D32" i="4" l="1"/>
  <c r="C32" i="4"/>
  <c r="E32" i="4" s="1"/>
  <c r="G32" i="4" s="1"/>
  <c r="L42" i="4"/>
  <c r="M42" i="4" s="1"/>
  <c r="O42" i="4" s="1"/>
  <c r="H103" i="4"/>
  <c r="D33" i="4" l="1"/>
  <c r="C33" i="4"/>
  <c r="L43" i="4"/>
  <c r="M43" i="4" s="1"/>
  <c r="O43" i="4" s="1"/>
  <c r="H104" i="4"/>
  <c r="E33" i="4" l="1"/>
  <c r="G33" i="4" s="1"/>
  <c r="L44" i="4"/>
  <c r="M44" i="4" s="1"/>
  <c r="O44" i="4" s="1"/>
  <c r="H105" i="4"/>
  <c r="D34" i="4" l="1"/>
  <c r="C34" i="4"/>
  <c r="E34" i="4" s="1"/>
  <c r="G34" i="4" s="1"/>
  <c r="L45" i="4"/>
  <c r="M45" i="4" s="1"/>
  <c r="O45" i="4" s="1"/>
  <c r="H106" i="4"/>
  <c r="D35" i="4" l="1"/>
  <c r="C35" i="4"/>
  <c r="E35" i="4" s="1"/>
  <c r="G35" i="4" s="1"/>
  <c r="L46" i="4"/>
  <c r="M46" i="4" s="1"/>
  <c r="O46" i="4" s="1"/>
  <c r="H107" i="4"/>
  <c r="D36" i="4" l="1"/>
  <c r="C36" i="4"/>
  <c r="L47" i="4"/>
  <c r="M47" i="4" s="1"/>
  <c r="O47" i="4" s="1"/>
  <c r="H108" i="4"/>
  <c r="E36" i="4" l="1"/>
  <c r="G36" i="4" s="1"/>
  <c r="L48" i="4"/>
  <c r="M48" i="4" s="1"/>
  <c r="O48" i="4" s="1"/>
  <c r="H109" i="4"/>
  <c r="D37" i="4" l="1"/>
  <c r="C37" i="4"/>
  <c r="L49" i="4"/>
  <c r="M49" i="4" s="1"/>
  <c r="O49" i="4" s="1"/>
  <c r="H110" i="4"/>
  <c r="E37" i="4" l="1"/>
  <c r="G37" i="4" s="1"/>
  <c r="L50" i="4"/>
  <c r="M50" i="4" s="1"/>
  <c r="O50" i="4" s="1"/>
  <c r="H111" i="4"/>
  <c r="D38" i="4" l="1"/>
  <c r="C38" i="4"/>
  <c r="L51" i="4"/>
  <c r="M51" i="4" s="1"/>
  <c r="O51" i="4" s="1"/>
  <c r="H112" i="4"/>
  <c r="E38" i="4" l="1"/>
  <c r="G38" i="4" s="1"/>
  <c r="L52" i="4"/>
  <c r="M52" i="4" s="1"/>
  <c r="O52" i="4" s="1"/>
  <c r="H113" i="4"/>
  <c r="D39" i="4" l="1"/>
  <c r="C39" i="4"/>
  <c r="E39" i="4" s="1"/>
  <c r="G39" i="4" s="1"/>
  <c r="L53" i="4"/>
  <c r="M53" i="4" s="1"/>
  <c r="O53" i="4" s="1"/>
  <c r="H114" i="4"/>
  <c r="D40" i="4" l="1"/>
  <c r="C40" i="4"/>
  <c r="E40" i="4" s="1"/>
  <c r="G40" i="4" s="1"/>
  <c r="L54" i="4"/>
  <c r="M54" i="4" s="1"/>
  <c r="O54" i="4" s="1"/>
  <c r="H115" i="4"/>
  <c r="D41" i="4" l="1"/>
  <c r="C41" i="4"/>
  <c r="L55" i="4"/>
  <c r="H116" i="4"/>
  <c r="K55" i="4" l="1"/>
  <c r="M55" i="4" s="1"/>
  <c r="O55" i="4" s="1"/>
  <c r="L56" i="4" s="1"/>
  <c r="E41" i="4"/>
  <c r="G41" i="4" s="1"/>
  <c r="H117" i="4"/>
  <c r="K56" i="4" l="1"/>
  <c r="M56" i="4" s="1"/>
  <c r="O56" i="4" s="1"/>
  <c r="L57" i="4" s="1"/>
  <c r="D42" i="4"/>
  <c r="C42" i="4"/>
  <c r="H118" i="4"/>
  <c r="K57" i="4" l="1"/>
  <c r="M57" i="4" s="1"/>
  <c r="O57" i="4" s="1"/>
  <c r="L58" i="4" s="1"/>
  <c r="E42" i="4"/>
  <c r="G42" i="4" s="1"/>
  <c r="H119" i="4"/>
  <c r="K58" i="4" l="1"/>
  <c r="M58" i="4" s="1"/>
  <c r="O58" i="4" s="1"/>
  <c r="L59" i="4" s="1"/>
  <c r="D43" i="4"/>
  <c r="C43" i="4"/>
  <c r="H120" i="4"/>
  <c r="K59" i="4" l="1"/>
  <c r="M59" i="4" s="1"/>
  <c r="O59" i="4" s="1"/>
  <c r="L60" i="4" s="1"/>
  <c r="E43" i="4"/>
  <c r="G43" i="4" s="1"/>
  <c r="H121" i="4"/>
  <c r="D44" i="4" l="1"/>
  <c r="C44" i="4"/>
  <c r="H122" i="4"/>
  <c r="E44" i="4" l="1"/>
  <c r="G44" i="4" s="1"/>
  <c r="D45" i="4"/>
  <c r="E45" i="4" s="1"/>
  <c r="G45" i="4" s="1"/>
  <c r="C45" i="4"/>
  <c r="H123" i="4"/>
  <c r="D46" i="4" l="1"/>
  <c r="C46" i="4"/>
  <c r="E46" i="4" s="1"/>
  <c r="G46" i="4" s="1"/>
  <c r="H124" i="4"/>
  <c r="D47" i="4" l="1"/>
  <c r="C47" i="4"/>
  <c r="H125" i="4"/>
  <c r="E47" i="4" l="1"/>
  <c r="G47" i="4" s="1"/>
  <c r="H126" i="4"/>
  <c r="D48" i="4" l="1"/>
  <c r="C48" i="4"/>
  <c r="H127" i="4"/>
  <c r="E48" i="4" l="1"/>
  <c r="G48" i="4" s="1"/>
  <c r="H128" i="4"/>
  <c r="D49" i="4" l="1"/>
  <c r="C49" i="4"/>
  <c r="H129" i="4"/>
  <c r="E49" i="4" l="1"/>
  <c r="G49" i="4" s="1"/>
  <c r="H130" i="4"/>
  <c r="D50" i="4" l="1"/>
  <c r="C50" i="4"/>
  <c r="H131" i="4"/>
  <c r="E50" i="4" l="1"/>
  <c r="G50" i="4" s="1"/>
  <c r="H132" i="4"/>
  <c r="D51" i="4" l="1"/>
  <c r="C51" i="4"/>
  <c r="E51" i="4" s="1"/>
  <c r="G51" i="4" s="1"/>
  <c r="H133" i="4"/>
  <c r="D52" i="4" l="1"/>
  <c r="C52" i="4"/>
  <c r="E52" i="4" s="1"/>
  <c r="G52" i="4" s="1"/>
  <c r="H134" i="4"/>
  <c r="D53" i="4" l="1"/>
  <c r="C53" i="4"/>
  <c r="H135" i="4"/>
  <c r="E53" i="4" l="1"/>
  <c r="G53" i="4" s="1"/>
  <c r="D54" i="4"/>
  <c r="C54" i="4"/>
  <c r="E54" i="4" s="1"/>
  <c r="G54" i="4" s="1"/>
  <c r="H136" i="4"/>
  <c r="D55" i="4" l="1"/>
  <c r="C55" i="4"/>
  <c r="H137" i="4"/>
  <c r="E55" i="4" l="1"/>
  <c r="G55" i="4" s="1"/>
  <c r="H138" i="4"/>
  <c r="D56" i="4" l="1"/>
  <c r="C56" i="4"/>
  <c r="H139" i="4"/>
  <c r="E56" i="4" l="1"/>
  <c r="G56" i="4" s="1"/>
  <c r="H140" i="4"/>
  <c r="D57" i="4" l="1"/>
  <c r="C57" i="4"/>
  <c r="H141" i="4"/>
  <c r="E57" i="4" l="1"/>
  <c r="G57" i="4" s="1"/>
  <c r="H142" i="4"/>
  <c r="D58" i="4" l="1"/>
  <c r="C58" i="4"/>
  <c r="H143" i="4"/>
  <c r="E58" i="4" l="1"/>
  <c r="G58" i="4" s="1"/>
  <c r="H144" i="4"/>
  <c r="D59" i="4" l="1"/>
  <c r="C59" i="4"/>
  <c r="H145" i="4"/>
  <c r="E59" i="4" l="1"/>
  <c r="G59" i="4" s="1"/>
  <c r="D60" i="4"/>
  <c r="C60" i="4"/>
  <c r="H146" i="4"/>
  <c r="E60" i="4" l="1"/>
  <c r="G60" i="4" s="1"/>
  <c r="H147" i="4"/>
  <c r="D61" i="4" l="1"/>
  <c r="C61" i="4"/>
  <c r="H148" i="4"/>
  <c r="E61" i="4" l="1"/>
  <c r="G61" i="4" s="1"/>
  <c r="H149" i="4"/>
  <c r="D62" i="4" l="1"/>
  <c r="C62" i="4"/>
  <c r="H150" i="4"/>
  <c r="E62" i="4" l="1"/>
  <c r="G62" i="4" s="1"/>
  <c r="H151" i="4"/>
  <c r="D63" i="4" l="1"/>
  <c r="C63" i="4"/>
  <c r="H152" i="4"/>
  <c r="E63" i="4" l="1"/>
  <c r="G63" i="4" s="1"/>
  <c r="H153" i="4"/>
  <c r="D64" i="4" l="1"/>
  <c r="C64" i="4"/>
  <c r="H154" i="4"/>
  <c r="E64" i="4" l="1"/>
  <c r="G64" i="4" s="1"/>
  <c r="H155" i="4"/>
  <c r="D65" i="4" l="1"/>
  <c r="C65" i="4"/>
  <c r="H156" i="4"/>
  <c r="E65" i="4" l="1"/>
  <c r="G65" i="4" s="1"/>
  <c r="D66" i="4"/>
  <c r="C66" i="4"/>
  <c r="H157" i="4"/>
  <c r="E66" i="4" l="1"/>
  <c r="G66" i="4" s="1"/>
  <c r="D67" i="4"/>
  <c r="C67" i="4"/>
  <c r="H158" i="4"/>
  <c r="E67" i="4" l="1"/>
  <c r="G67" i="4" s="1"/>
  <c r="H159" i="4"/>
  <c r="D68" i="4" l="1"/>
  <c r="C68" i="4"/>
  <c r="H160" i="4"/>
  <c r="E68" i="4" l="1"/>
  <c r="G68" i="4" s="1"/>
  <c r="H161" i="4"/>
  <c r="D69" i="4" l="1"/>
  <c r="C69" i="4"/>
  <c r="H162" i="4"/>
  <c r="E69" i="4" l="1"/>
  <c r="G69" i="4" s="1"/>
  <c r="V3" i="4"/>
  <c r="H163" i="4"/>
  <c r="H164" i="4" l="1"/>
  <c r="H165" i="4" l="1"/>
  <c r="H166" i="4" l="1"/>
  <c r="H167" i="4" l="1"/>
  <c r="H168" i="4" l="1"/>
  <c r="H169" i="4" l="1"/>
  <c r="H170" i="4" l="1"/>
  <c r="H171" i="4" l="1"/>
  <c r="H172" i="4" l="1"/>
  <c r="H173" i="4" l="1"/>
  <c r="H174" i="4" l="1"/>
  <c r="H175" i="4" l="1"/>
  <c r="H176" i="4" l="1"/>
  <c r="H177" i="4" l="1"/>
  <c r="H178" i="4" l="1"/>
  <c r="H179" i="4" l="1"/>
  <c r="H180" i="4" l="1"/>
  <c r="H181" i="4" l="1"/>
  <c r="H182" i="4" l="1"/>
  <c r="H183" i="4" l="1"/>
  <c r="H184" i="4" l="1"/>
  <c r="H185" i="4" l="1"/>
  <c r="H186" i="4" l="1"/>
  <c r="H187" i="4" l="1"/>
  <c r="H188" i="4" l="1"/>
  <c r="H189" i="4" l="1"/>
  <c r="H190" i="4" l="1"/>
  <c r="H191" i="4" l="1"/>
  <c r="H192" i="4" l="1"/>
  <c r="H193" i="4" l="1"/>
  <c r="H194" i="4" l="1"/>
  <c r="H195" i="4" l="1"/>
  <c r="H196" i="4" l="1"/>
  <c r="H197" i="4" l="1"/>
  <c r="H198" i="4" l="1"/>
  <c r="H199" i="4" l="1"/>
  <c r="H200" i="4" l="1"/>
  <c r="H201" i="4" l="1"/>
  <c r="H202" i="4" l="1"/>
  <c r="H203" i="4" l="1"/>
  <c r="H204" i="4" l="1"/>
  <c r="H205" i="4" l="1"/>
  <c r="H206" i="4" l="1"/>
  <c r="H207" i="4" l="1"/>
  <c r="H208" i="4" l="1"/>
  <c r="H209" i="4" l="1"/>
  <c r="H210" i="4" l="1"/>
  <c r="H211" i="4" l="1"/>
  <c r="H212" i="4" l="1"/>
  <c r="H213" i="4" l="1"/>
  <c r="H214" i="4" l="1"/>
  <c r="H215" i="4" l="1"/>
  <c r="H216" i="4" l="1"/>
  <c r="H217" i="4" l="1"/>
  <c r="H218" i="4" l="1"/>
  <c r="H219" i="4" l="1"/>
  <c r="H220" i="4" l="1"/>
  <c r="H221" i="4" l="1"/>
  <c r="H222" i="4" l="1"/>
  <c r="H223" i="4" l="1"/>
  <c r="H224" i="4" l="1"/>
  <c r="H225" i="4" l="1"/>
  <c r="H226" i="4" l="1"/>
  <c r="H227" i="4" l="1"/>
  <c r="H228" i="4" l="1"/>
  <c r="H229" i="4" l="1"/>
  <c r="H230" i="4" l="1"/>
  <c r="H231" i="4" l="1"/>
  <c r="H232" i="4" l="1"/>
  <c r="H233" i="4" l="1"/>
  <c r="H234" i="4" l="1"/>
  <c r="H235" i="4" l="1"/>
  <c r="H236" i="4" l="1"/>
  <c r="H237" i="4" l="1"/>
  <c r="H238" i="4" l="1"/>
  <c r="H239" i="4" l="1"/>
  <c r="H240" i="4" l="1"/>
  <c r="H241" i="4" l="1"/>
  <c r="H242" i="4" l="1"/>
  <c r="H243" i="4" l="1"/>
  <c r="H244" i="4" l="1"/>
  <c r="H245" i="4" l="1"/>
  <c r="H246" i="4" l="1"/>
  <c r="H247" i="4" l="1"/>
  <c r="H248" i="4" l="1"/>
  <c r="H249" i="4" l="1"/>
  <c r="H250" i="4" l="1"/>
  <c r="H251" i="4" l="1"/>
  <c r="H252" i="4" l="1"/>
  <c r="H253" i="4" l="1"/>
  <c r="H254" i="4" l="1"/>
  <c r="H255" i="4" l="1"/>
  <c r="H256" i="4" l="1"/>
  <c r="H257" i="4" l="1"/>
  <c r="H258" i="4" l="1"/>
  <c r="H259" i="4" l="1"/>
  <c r="H260" i="4" l="1"/>
  <c r="H261" i="4" l="1"/>
  <c r="H262" i="4" l="1"/>
  <c r="H263" i="4" l="1"/>
  <c r="H264" i="4" l="1"/>
  <c r="H265" i="4" l="1"/>
  <c r="H266" i="4" l="1"/>
  <c r="H267" i="4" l="1"/>
  <c r="H268" i="4" l="1"/>
  <c r="H269" i="4" l="1"/>
  <c r="H270" i="4" l="1"/>
  <c r="H271" i="4" l="1"/>
  <c r="H272" i="4" l="1"/>
  <c r="H273" i="4" l="1"/>
  <c r="H274" i="4" l="1"/>
  <c r="H275" i="4" l="1"/>
  <c r="H276" i="4" l="1"/>
  <c r="H277" i="4" l="1"/>
  <c r="H278" i="4" l="1"/>
  <c r="H279" i="4" l="1"/>
  <c r="H280" i="4" l="1"/>
  <c r="H281" i="4" l="1"/>
  <c r="H282" i="4" l="1"/>
  <c r="H283" i="4" l="1"/>
  <c r="H284" i="4" l="1"/>
  <c r="H285" i="4" l="1"/>
  <c r="H286" i="4" l="1"/>
  <c r="H287" i="4" l="1"/>
  <c r="H288" i="4" l="1"/>
  <c r="H289" i="4" l="1"/>
  <c r="H290" i="4" l="1"/>
  <c r="H291" i="4" l="1"/>
  <c r="H292" i="4" l="1"/>
  <c r="H293" i="4" l="1"/>
  <c r="H294" i="4" l="1"/>
  <c r="H295" i="4" l="1"/>
  <c r="H296" i="4" l="1"/>
  <c r="H297" i="4" l="1"/>
  <c r="H298" i="4" l="1"/>
  <c r="H299" i="4" l="1"/>
  <c r="H300" i="4" l="1"/>
  <c r="H301" i="4" l="1"/>
  <c r="H302" i="4" l="1"/>
  <c r="H303" i="4" l="1"/>
  <c r="H304" i="4" l="1"/>
  <c r="H305" i="4" l="1"/>
  <c r="H306" i="4" l="1"/>
  <c r="H307" i="4" l="1"/>
  <c r="H308" i="4" l="1"/>
  <c r="H309" i="4" l="1"/>
  <c r="H310" i="4" l="1"/>
  <c r="H311" i="4" l="1"/>
  <c r="H312" i="4" l="1"/>
  <c r="H313" i="4" l="1"/>
  <c r="H314" i="4" l="1"/>
  <c r="H315" i="4" l="1"/>
  <c r="H316" i="4" l="1"/>
  <c r="H317" i="4" l="1"/>
  <c r="H318" i="4" l="1"/>
  <c r="H319" i="4" l="1"/>
  <c r="H320" i="4" l="1"/>
  <c r="H321" i="4" l="1"/>
  <c r="H322" i="4" l="1"/>
  <c r="H323" i="4" l="1"/>
  <c r="H324" i="4" l="1"/>
  <c r="H325" i="4" l="1"/>
  <c r="H326" i="4" l="1"/>
  <c r="H327" i="4" l="1"/>
  <c r="H328" i="4" l="1"/>
  <c r="H329" i="4" l="1"/>
  <c r="H330" i="4" l="1"/>
  <c r="H331" i="4" l="1"/>
  <c r="H332" i="4" l="1"/>
  <c r="H333" i="4" l="1"/>
  <c r="H334" i="4" l="1"/>
  <c r="H335" i="4" l="1"/>
  <c r="H336" i="4" l="1"/>
  <c r="H337" i="4" l="1"/>
  <c r="H338" i="4" l="1"/>
  <c r="H339" i="4" l="1"/>
  <c r="H340" i="4" l="1"/>
  <c r="H341" i="4" l="1"/>
  <c r="H342" i="4" l="1"/>
  <c r="H343" i="4" l="1"/>
  <c r="H344" i="4" l="1"/>
  <c r="H345" i="4" l="1"/>
  <c r="H346" i="4" l="1"/>
  <c r="H347" i="4" l="1"/>
  <c r="H348" i="4" l="1"/>
  <c r="H349" i="4" l="1"/>
  <c r="H350" i="4" l="1"/>
  <c r="H351" i="4" l="1"/>
  <c r="H352" i="4" l="1"/>
  <c r="H353" i="4" l="1"/>
  <c r="H354" i="4" l="1"/>
  <c r="H355" i="4" l="1"/>
  <c r="H356" i="4" l="1"/>
  <c r="H357" i="4" l="1"/>
  <c r="H358" i="4" l="1"/>
  <c r="H359" i="4" l="1"/>
  <c r="H360" i="4" l="1"/>
  <c r="H361" i="4" l="1"/>
  <c r="H362" i="4" l="1"/>
  <c r="H363" i="4" l="1"/>
  <c r="H364" i="4" l="1"/>
  <c r="H365" i="4" l="1"/>
  <c r="H366" i="4" l="1"/>
  <c r="H367" i="4" l="1"/>
  <c r="H368" i="4" l="1"/>
  <c r="H369" i="4" l="1"/>
  <c r="H370" i="4" l="1"/>
  <c r="H371" i="4" l="1"/>
  <c r="H372" i="4" l="1"/>
  <c r="H373" i="4" l="1"/>
  <c r="H374" i="4" l="1"/>
  <c r="H375" i="4" l="1"/>
  <c r="H376" i="4" l="1"/>
  <c r="H377" i="4" l="1"/>
  <c r="H378" i="4" l="1"/>
  <c r="H379" i="4" l="1"/>
  <c r="H380" i="4" l="1"/>
  <c r="H381" i="4" l="1"/>
  <c r="H382" i="4" l="1"/>
  <c r="H383" i="4" l="1"/>
  <c r="H384" i="4" l="1"/>
  <c r="H385" i="4" l="1"/>
  <c r="H386" i="4" l="1"/>
  <c r="H387" i="4" l="1"/>
  <c r="H388" i="4" l="1"/>
  <c r="H389" i="4" l="1"/>
  <c r="H390" i="4" l="1"/>
  <c r="H391" i="4" l="1"/>
  <c r="H392" i="4" l="1"/>
  <c r="H393" i="4" l="1"/>
  <c r="H394" i="4" l="1"/>
  <c r="H395" i="4" l="1"/>
  <c r="H396" i="4" l="1"/>
  <c r="H397" i="4" l="1"/>
  <c r="H398" i="4" l="1"/>
  <c r="H399" i="4" l="1"/>
  <c r="H400" i="4" l="1"/>
  <c r="H401" i="4" l="1"/>
  <c r="H402" i="4" l="1"/>
  <c r="H403" i="4" l="1"/>
  <c r="H404" i="4" l="1"/>
  <c r="H405" i="4" l="1"/>
  <c r="H406" i="4" l="1"/>
  <c r="H407" i="4" l="1"/>
  <c r="H408" i="4" l="1"/>
  <c r="H409" i="4" l="1"/>
  <c r="H410" i="4" l="1"/>
  <c r="H411" i="4" l="1"/>
  <c r="H412" i="4" l="1"/>
  <c r="H413" i="4" l="1"/>
  <c r="H414" i="4" l="1"/>
  <c r="H415" i="4" l="1"/>
  <c r="H416" i="4" l="1"/>
  <c r="H417" i="4" l="1"/>
  <c r="H418" i="4" l="1"/>
  <c r="H419" i="4" l="1"/>
  <c r="H420" i="4" l="1"/>
  <c r="H421" i="4" l="1"/>
  <c r="H422" i="4" l="1"/>
  <c r="H423" i="4" l="1"/>
  <c r="H424" i="4" l="1"/>
  <c r="H425" i="4" l="1"/>
  <c r="H426" i="4" l="1"/>
  <c r="H427" i="4" l="1"/>
  <c r="H428" i="4" l="1"/>
  <c r="H429" i="4" l="1"/>
  <c r="H430" i="4" l="1"/>
  <c r="H431" i="4" l="1"/>
  <c r="H432" i="4" l="1"/>
  <c r="H433" i="4" l="1"/>
  <c r="H434" i="4" l="1"/>
  <c r="H435" i="4" l="1"/>
  <c r="H436" i="4" l="1"/>
  <c r="H437" i="4" l="1"/>
  <c r="H438" i="4" l="1"/>
  <c r="H439" i="4" l="1"/>
  <c r="H440" i="4" l="1"/>
  <c r="H441" i="4" l="1"/>
  <c r="H442" i="4" l="1"/>
  <c r="H443" i="4" l="1"/>
  <c r="H444" i="4" l="1"/>
  <c r="H445" i="4" l="1"/>
  <c r="H446" i="4" l="1"/>
  <c r="H447" i="4" l="1"/>
  <c r="H448" i="4" l="1"/>
  <c r="H449" i="4" l="1"/>
  <c r="H450" i="4" l="1"/>
  <c r="H451" i="4" l="1"/>
  <c r="H452" i="4" l="1"/>
  <c r="H453" i="4" l="1"/>
  <c r="H454" i="4" l="1"/>
  <c r="H455" i="4" l="1"/>
  <c r="H456" i="4" l="1"/>
  <c r="H457" i="4" l="1"/>
  <c r="H458" i="4" l="1"/>
  <c r="H459" i="4" l="1"/>
  <c r="H460" i="4" l="1"/>
  <c r="H461" i="4" l="1"/>
  <c r="H462" i="4" l="1"/>
  <c r="H463" i="4" l="1"/>
  <c r="H464" i="4" l="1"/>
  <c r="H465" i="4" l="1"/>
  <c r="H466" i="4" l="1"/>
  <c r="H467" i="4" l="1"/>
  <c r="H468" i="4" l="1"/>
  <c r="H469" i="4" l="1"/>
  <c r="H470" i="4" l="1"/>
  <c r="H471" i="4" l="1"/>
  <c r="H472" i="4" l="1"/>
  <c r="H473" i="4" l="1"/>
  <c r="H474" i="4" l="1"/>
  <c r="H475" i="4" l="1"/>
  <c r="H476" i="4" l="1"/>
  <c r="H477" i="4" l="1"/>
  <c r="H478" i="4" l="1"/>
  <c r="H479" i="4" l="1"/>
  <c r="H480" i="4" l="1"/>
  <c r="H481" i="4" l="1"/>
  <c r="H482" i="4" l="1"/>
  <c r="H483" i="4" l="1"/>
  <c r="H484" i="4" l="1"/>
  <c r="H485" i="4" l="1"/>
  <c r="H486" i="4" l="1"/>
  <c r="H487" i="4" l="1"/>
  <c r="H488" i="4" l="1"/>
  <c r="H489" i="4" l="1"/>
  <c r="H490" i="4" l="1"/>
  <c r="H491" i="4" l="1"/>
  <c r="H492" i="4" l="1"/>
  <c r="H493" i="4" l="1"/>
  <c r="H494" i="4" l="1"/>
  <c r="H495" i="4" l="1"/>
  <c r="H496" i="4" l="1"/>
  <c r="H497" i="4" l="1"/>
  <c r="H498" i="4" l="1"/>
  <c r="H499" i="4" l="1"/>
  <c r="H500" i="4" l="1"/>
  <c r="H501" i="4" l="1"/>
  <c r="H502" i="4" l="1"/>
  <c r="H503" i="4" l="1"/>
  <c r="H504" i="4" l="1"/>
  <c r="H505" i="4" l="1"/>
  <c r="H506" i="4" l="1"/>
  <c r="H507" i="4" l="1"/>
  <c r="H508" i="4" l="1"/>
  <c r="H509" i="4" l="1"/>
  <c r="H510" i="4" l="1"/>
  <c r="H511" i="4" l="1"/>
  <c r="H512" i="4" l="1"/>
  <c r="H513" i="4" l="1"/>
  <c r="H514" i="4" l="1"/>
  <c r="H515" i="4" l="1"/>
  <c r="H516" i="4" l="1"/>
  <c r="H517" i="4" l="1"/>
  <c r="H518" i="4" l="1"/>
  <c r="H519" i="4" l="1"/>
  <c r="H520" i="4" l="1"/>
  <c r="H521" i="4" l="1"/>
  <c r="H522" i="4" l="1"/>
  <c r="H523" i="4" l="1"/>
  <c r="H524" i="4" l="1"/>
  <c r="H525" i="4" l="1"/>
  <c r="H526" i="4" l="1"/>
  <c r="H527" i="4" l="1"/>
  <c r="H528" i="4" l="1"/>
  <c r="H529" i="4" l="1"/>
  <c r="H530" i="4" l="1"/>
  <c r="H531" i="4" l="1"/>
  <c r="H532" i="4" l="1"/>
  <c r="H533" i="4" l="1"/>
  <c r="H534" i="4" l="1"/>
  <c r="H535" i="4" l="1"/>
  <c r="H536" i="4" l="1"/>
  <c r="H537" i="4" l="1"/>
  <c r="H538" i="4" l="1"/>
  <c r="H539" i="4" l="1"/>
  <c r="H540" i="4" l="1"/>
  <c r="H541" i="4" l="1"/>
  <c r="H542" i="4" l="1"/>
  <c r="H543" i="4" l="1"/>
  <c r="H544" i="4" l="1"/>
  <c r="H545" i="4" l="1"/>
  <c r="H546" i="4" l="1"/>
  <c r="H547" i="4" l="1"/>
  <c r="H548" i="4" l="1"/>
  <c r="H549" i="4" l="1"/>
  <c r="H550" i="4" l="1"/>
  <c r="H551" i="4" l="1"/>
  <c r="H552" i="4" l="1"/>
  <c r="H553" i="4" l="1"/>
  <c r="H554" i="4" l="1"/>
  <c r="H555" i="4" l="1"/>
  <c r="H556" i="4" l="1"/>
  <c r="H557" i="4" l="1"/>
  <c r="H558" i="4" l="1"/>
  <c r="H559" i="4" l="1"/>
  <c r="H560" i="4" l="1"/>
  <c r="H561" i="4" l="1"/>
  <c r="H562" i="4" l="1"/>
  <c r="H563" i="4" l="1"/>
  <c r="H564" i="4" l="1"/>
  <c r="H565" i="4" l="1"/>
  <c r="H566" i="4" l="1"/>
  <c r="H567" i="4" l="1"/>
  <c r="H568" i="4" l="1"/>
  <c r="H569" i="4" l="1"/>
  <c r="H570" i="4" l="1"/>
  <c r="H571" i="4" l="1"/>
  <c r="H572" i="4" l="1"/>
  <c r="H573" i="4" l="1"/>
  <c r="H574" i="4" l="1"/>
  <c r="H575" i="4" l="1"/>
  <c r="H576" i="4" l="1"/>
  <c r="H577" i="4" l="1"/>
  <c r="H578" i="4" l="1"/>
  <c r="H579" i="4" l="1"/>
  <c r="H580" i="4" l="1"/>
  <c r="H581" i="4" l="1"/>
  <c r="H582" i="4" l="1"/>
  <c r="H583" i="4" l="1"/>
  <c r="H584" i="4" l="1"/>
  <c r="H585" i="4" l="1"/>
  <c r="H586" i="4" l="1"/>
  <c r="H587" i="4" l="1"/>
  <c r="H588" i="4" l="1"/>
  <c r="H589" i="4" l="1"/>
  <c r="H590" i="4" l="1"/>
  <c r="H591" i="4" l="1"/>
  <c r="H592" i="4" l="1"/>
  <c r="H593" i="4" l="1"/>
  <c r="H594" i="4" l="1"/>
  <c r="H595" i="4" l="1"/>
  <c r="H596" i="4" l="1"/>
  <c r="H597" i="4" l="1"/>
  <c r="H598" i="4" l="1"/>
  <c r="H599" i="4" l="1"/>
  <c r="H600" i="4" l="1"/>
  <c r="H601" i="4" l="1"/>
  <c r="H602" i="4" l="1"/>
  <c r="H603" i="4" l="1"/>
  <c r="H604" i="4" l="1"/>
  <c r="H605" i="4" l="1"/>
  <c r="H606" i="4" l="1"/>
  <c r="H607" i="4" l="1"/>
  <c r="H608" i="4" l="1"/>
  <c r="H10" i="3" l="1"/>
  <c r="C11" i="3" s="1"/>
  <c r="E11" i="3" l="1"/>
  <c r="H11" i="3" s="1"/>
  <c r="C12" i="3" s="1"/>
  <c r="E12" i="3" s="1"/>
  <c r="H12" i="3" s="1"/>
  <c r="C13" i="3" s="1"/>
  <c r="I8" i="2"/>
  <c r="J6" i="2"/>
  <c r="K6" i="2"/>
  <c r="L6" i="2"/>
  <c r="J4" i="2"/>
  <c r="K4" i="2"/>
  <c r="L4" i="2"/>
  <c r="I4" i="2"/>
  <c r="I6" i="2"/>
  <c r="I2" i="2"/>
  <c r="D23" i="2"/>
  <c r="D39" i="2"/>
  <c r="D55" i="2"/>
  <c r="D71" i="2"/>
  <c r="D87" i="2"/>
  <c r="D103" i="2"/>
  <c r="D119" i="2"/>
  <c r="D135" i="2"/>
  <c r="D151" i="2"/>
  <c r="D167" i="2"/>
  <c r="D183" i="2"/>
  <c r="D199" i="2"/>
  <c r="D215" i="2"/>
  <c r="D231" i="2"/>
  <c r="D247" i="2"/>
  <c r="D263" i="2"/>
  <c r="D279" i="2"/>
  <c r="D295" i="2"/>
  <c r="C5" i="2"/>
  <c r="D24" i="2" s="1"/>
  <c r="F8" i="2"/>
  <c r="B8" i="2" a="1"/>
  <c r="B8" i="2" s="1"/>
  <c r="D4" i="2"/>
  <c r="H4" i="1"/>
  <c r="J7" i="1"/>
  <c r="I18" i="1" s="1"/>
  <c r="F7" i="1" a="1"/>
  <c r="F7" i="1" s="1"/>
  <c r="I173" i="1" l="1"/>
  <c r="I76" i="1"/>
  <c r="I251" i="1"/>
  <c r="I172" i="1"/>
  <c r="I240" i="1"/>
  <c r="I142" i="1"/>
  <c r="I129" i="1"/>
  <c r="I283" i="1"/>
  <c r="I109" i="1"/>
  <c r="I30" i="1"/>
  <c r="I289" i="1"/>
  <c r="I140" i="1"/>
  <c r="I139" i="1"/>
  <c r="I285" i="1"/>
  <c r="I31" i="1"/>
  <c r="I187" i="1"/>
  <c r="I108" i="1"/>
  <c r="I29" i="1"/>
  <c r="I241" i="1"/>
  <c r="I144" i="1"/>
  <c r="I288" i="1"/>
  <c r="I286" i="1"/>
  <c r="I208" i="1"/>
  <c r="I207" i="1"/>
  <c r="I206" i="1"/>
  <c r="I255" i="1"/>
  <c r="I177" i="1"/>
  <c r="I107" i="1"/>
  <c r="I28" i="1"/>
  <c r="I75" i="1"/>
  <c r="I65" i="1"/>
  <c r="I143" i="1"/>
  <c r="I63" i="1"/>
  <c r="I220" i="1"/>
  <c r="I141" i="1"/>
  <c r="I61" i="1"/>
  <c r="I33" i="1"/>
  <c r="I32" i="1"/>
  <c r="I284" i="1"/>
  <c r="I110" i="1"/>
  <c r="I273" i="1"/>
  <c r="I254" i="1"/>
  <c r="I176" i="1"/>
  <c r="I97" i="1"/>
  <c r="I27" i="1"/>
  <c r="I239" i="1"/>
  <c r="I287" i="1"/>
  <c r="I64" i="1"/>
  <c r="I221" i="1"/>
  <c r="I62" i="1"/>
  <c r="I219" i="1"/>
  <c r="I209" i="1"/>
  <c r="I253" i="1"/>
  <c r="I175" i="1"/>
  <c r="I96" i="1"/>
  <c r="I252" i="1"/>
  <c r="I174" i="1"/>
  <c r="I95" i="1"/>
  <c r="I48" i="1"/>
  <c r="I171" i="1"/>
  <c r="I94" i="1"/>
  <c r="I204" i="1"/>
  <c r="I93" i="1"/>
  <c r="I160" i="1"/>
  <c r="I193" i="1"/>
  <c r="I269" i="1"/>
  <c r="I124" i="1"/>
  <c r="I47" i="1"/>
  <c r="I13" i="1"/>
  <c r="I161" i="1"/>
  <c r="I305" i="1"/>
  <c r="I203" i="1"/>
  <c r="I92" i="1"/>
  <c r="I15" i="1"/>
  <c r="I159" i="1"/>
  <c r="I235" i="1"/>
  <c r="I158" i="1"/>
  <c r="I225" i="1"/>
  <c r="I191" i="1"/>
  <c r="I157" i="1"/>
  <c r="I123" i="1"/>
  <c r="I80" i="1"/>
  <c r="I46" i="1"/>
  <c r="I12" i="1"/>
  <c r="P4" i="1"/>
  <c r="I205" i="1"/>
  <c r="I128" i="1"/>
  <c r="I60" i="1"/>
  <c r="I238" i="1"/>
  <c r="I127" i="1"/>
  <c r="I16" i="1"/>
  <c r="I237" i="1"/>
  <c r="I126" i="1"/>
  <c r="I270" i="1"/>
  <c r="I236" i="1"/>
  <c r="P6" i="1" s="1"/>
  <c r="I125" i="1"/>
  <c r="I14" i="1"/>
  <c r="I303" i="1"/>
  <c r="I192" i="1"/>
  <c r="I81" i="1"/>
  <c r="I302" i="1"/>
  <c r="I268" i="1"/>
  <c r="I301" i="1"/>
  <c r="I267" i="1"/>
  <c r="I224" i="1"/>
  <c r="I190" i="1"/>
  <c r="I156" i="1"/>
  <c r="I113" i="1"/>
  <c r="I79" i="1"/>
  <c r="I45" i="1"/>
  <c r="I11" i="1"/>
  <c r="I17" i="1"/>
  <c r="I272" i="1"/>
  <c r="I59" i="1"/>
  <c r="I271" i="1"/>
  <c r="I49" i="1"/>
  <c r="I304" i="1"/>
  <c r="I91" i="1"/>
  <c r="I300" i="1"/>
  <c r="I257" i="1"/>
  <c r="I223" i="1"/>
  <c r="I189" i="1"/>
  <c r="I155" i="1"/>
  <c r="I112" i="1"/>
  <c r="I78" i="1"/>
  <c r="I44" i="1"/>
  <c r="I299" i="1"/>
  <c r="I256" i="1"/>
  <c r="I222" i="1"/>
  <c r="I188" i="1"/>
  <c r="I145" i="1"/>
  <c r="I111" i="1"/>
  <c r="I77" i="1"/>
  <c r="I43" i="1"/>
  <c r="E13" i="3"/>
  <c r="H13" i="3" s="1"/>
  <c r="C14" i="3" s="1"/>
  <c r="D54" i="2"/>
  <c r="D293" i="2"/>
  <c r="D261" i="2"/>
  <c r="D245" i="2"/>
  <c r="D213" i="2"/>
  <c r="D101" i="2"/>
  <c r="D102" i="2"/>
  <c r="D53" i="2"/>
  <c r="D308" i="2"/>
  <c r="D244" i="2"/>
  <c r="D164" i="2"/>
  <c r="D132" i="2"/>
  <c r="D116" i="2"/>
  <c r="D100" i="2"/>
  <c r="D68" i="2"/>
  <c r="D52" i="2"/>
  <c r="D36" i="2"/>
  <c r="D20" i="2"/>
  <c r="D294" i="2"/>
  <c r="D278" i="2"/>
  <c r="D230" i="2"/>
  <c r="D22" i="2"/>
  <c r="D9" i="2"/>
  <c r="D37" i="2"/>
  <c r="D196" i="2"/>
  <c r="D307" i="2"/>
  <c r="D291" i="2"/>
  <c r="D275" i="2"/>
  <c r="D259" i="2"/>
  <c r="D243" i="2"/>
  <c r="D227" i="2"/>
  <c r="D211" i="2"/>
  <c r="D195" i="2"/>
  <c r="D179" i="2"/>
  <c r="D163" i="2"/>
  <c r="D147" i="2"/>
  <c r="D131" i="2"/>
  <c r="D115" i="2"/>
  <c r="D99" i="2"/>
  <c r="D83" i="2"/>
  <c r="D67" i="2"/>
  <c r="D51" i="2"/>
  <c r="D35" i="2"/>
  <c r="D19" i="2"/>
  <c r="D70" i="2"/>
  <c r="D133" i="2"/>
  <c r="D84" i="2"/>
  <c r="D306" i="2"/>
  <c r="D290" i="2"/>
  <c r="D274" i="2"/>
  <c r="D258" i="2"/>
  <c r="D242" i="2"/>
  <c r="D226" i="2"/>
  <c r="D210" i="2"/>
  <c r="D194" i="2"/>
  <c r="D178" i="2"/>
  <c r="D162" i="2"/>
  <c r="D146" i="2"/>
  <c r="D130" i="2"/>
  <c r="D114" i="2"/>
  <c r="D98" i="2"/>
  <c r="D82" i="2"/>
  <c r="D66" i="2"/>
  <c r="D50" i="2"/>
  <c r="D34" i="2"/>
  <c r="D18" i="2"/>
  <c r="D150" i="2"/>
  <c r="D69" i="2"/>
  <c r="D289" i="2"/>
  <c r="D257" i="2"/>
  <c r="D209" i="2"/>
  <c r="D177" i="2"/>
  <c r="D145" i="2"/>
  <c r="D113" i="2"/>
  <c r="D81" i="2"/>
  <c r="D65" i="2"/>
  <c r="D49" i="2"/>
  <c r="D33" i="2"/>
  <c r="D118" i="2"/>
  <c r="D229" i="2"/>
  <c r="D148" i="2"/>
  <c r="D305" i="2"/>
  <c r="D273" i="2"/>
  <c r="D241" i="2"/>
  <c r="D225" i="2"/>
  <c r="D193" i="2"/>
  <c r="D161" i="2"/>
  <c r="D129" i="2"/>
  <c r="D97" i="2"/>
  <c r="D17" i="2"/>
  <c r="D304" i="2"/>
  <c r="D288" i="2"/>
  <c r="D272" i="2"/>
  <c r="D256" i="2"/>
  <c r="D240" i="2"/>
  <c r="D224" i="2"/>
  <c r="D208" i="2"/>
  <c r="D192" i="2"/>
  <c r="D176" i="2"/>
  <c r="D160" i="2"/>
  <c r="D144" i="2"/>
  <c r="D128" i="2"/>
  <c r="D112" i="2"/>
  <c r="D96" i="2"/>
  <c r="D80" i="2"/>
  <c r="D64" i="2"/>
  <c r="D48" i="2"/>
  <c r="D32" i="2"/>
  <c r="D16" i="2"/>
  <c r="D246" i="2"/>
  <c r="D21" i="2"/>
  <c r="D292" i="2"/>
  <c r="D303" i="2"/>
  <c r="D287" i="2"/>
  <c r="D271" i="2"/>
  <c r="D239" i="2"/>
  <c r="D223" i="2"/>
  <c r="D207" i="2"/>
  <c r="D191" i="2"/>
  <c r="D175" i="2"/>
  <c r="D159" i="2"/>
  <c r="D143" i="2"/>
  <c r="D127" i="2"/>
  <c r="D111" i="2"/>
  <c r="D95" i="2"/>
  <c r="D79" i="2"/>
  <c r="D63" i="2"/>
  <c r="D47" i="2"/>
  <c r="D31" i="2"/>
  <c r="D15" i="2"/>
  <c r="D86" i="2"/>
  <c r="D85" i="2"/>
  <c r="D212" i="2"/>
  <c r="D255" i="2"/>
  <c r="D302" i="2"/>
  <c r="D286" i="2"/>
  <c r="D270" i="2"/>
  <c r="D254" i="2"/>
  <c r="D238" i="2"/>
  <c r="D222" i="2"/>
  <c r="D206" i="2"/>
  <c r="D190" i="2"/>
  <c r="D174" i="2"/>
  <c r="D158" i="2"/>
  <c r="D142" i="2"/>
  <c r="D126" i="2"/>
  <c r="D110" i="2"/>
  <c r="D94" i="2"/>
  <c r="D78" i="2"/>
  <c r="D62" i="2"/>
  <c r="D46" i="2"/>
  <c r="D30" i="2"/>
  <c r="D14" i="2"/>
  <c r="D198" i="2"/>
  <c r="D149" i="2"/>
  <c r="D180" i="2"/>
  <c r="D285" i="2"/>
  <c r="D253" i="2"/>
  <c r="D221" i="2"/>
  <c r="D205" i="2"/>
  <c r="D189" i="2"/>
  <c r="D173" i="2"/>
  <c r="D157" i="2"/>
  <c r="D141" i="2"/>
  <c r="D125" i="2"/>
  <c r="D109" i="2"/>
  <c r="D93" i="2"/>
  <c r="D77" i="2"/>
  <c r="D29" i="2"/>
  <c r="D13" i="2"/>
  <c r="D214" i="2"/>
  <c r="D277" i="2"/>
  <c r="D300" i="2"/>
  <c r="D284" i="2"/>
  <c r="D268" i="2"/>
  <c r="D252" i="2"/>
  <c r="D236" i="2"/>
  <c r="D220" i="2"/>
  <c r="D204" i="2"/>
  <c r="D188" i="2"/>
  <c r="D172" i="2"/>
  <c r="D156" i="2"/>
  <c r="D140" i="2"/>
  <c r="D124" i="2"/>
  <c r="D108" i="2"/>
  <c r="D92" i="2"/>
  <c r="D76" i="2"/>
  <c r="D60" i="2"/>
  <c r="D44" i="2"/>
  <c r="D28" i="2"/>
  <c r="D12" i="2"/>
  <c r="D182" i="2"/>
  <c r="D117" i="2"/>
  <c r="D260" i="2"/>
  <c r="D267" i="2"/>
  <c r="D27" i="2"/>
  <c r="D134" i="2"/>
  <c r="D181" i="2"/>
  <c r="D228" i="2"/>
  <c r="D301" i="2"/>
  <c r="D237" i="2"/>
  <c r="D61" i="2"/>
  <c r="D283" i="2"/>
  <c r="D235" i="2"/>
  <c r="D203" i="2"/>
  <c r="D155" i="2"/>
  <c r="D107" i="2"/>
  <c r="D11" i="2"/>
  <c r="D298" i="2"/>
  <c r="D282" i="2"/>
  <c r="D266" i="2"/>
  <c r="D250" i="2"/>
  <c r="D234" i="2"/>
  <c r="D218" i="2"/>
  <c r="D202" i="2"/>
  <c r="D186" i="2"/>
  <c r="D170" i="2"/>
  <c r="D154" i="2"/>
  <c r="D138" i="2"/>
  <c r="D122" i="2"/>
  <c r="D106" i="2"/>
  <c r="D90" i="2"/>
  <c r="D74" i="2"/>
  <c r="D58" i="2"/>
  <c r="D42" i="2"/>
  <c r="D26" i="2"/>
  <c r="D10" i="2"/>
  <c r="I10" i="2"/>
  <c r="D166" i="2"/>
  <c r="D197" i="2"/>
  <c r="D269" i="2"/>
  <c r="D45" i="2"/>
  <c r="D299" i="2"/>
  <c r="D251" i="2"/>
  <c r="D219" i="2"/>
  <c r="D187" i="2"/>
  <c r="D171" i="2"/>
  <c r="D139" i="2"/>
  <c r="D123" i="2"/>
  <c r="D91" i="2"/>
  <c r="D75" i="2"/>
  <c r="D59" i="2"/>
  <c r="D43" i="2"/>
  <c r="D297" i="2"/>
  <c r="D281" i="2"/>
  <c r="D265" i="2"/>
  <c r="D249" i="2"/>
  <c r="D233" i="2"/>
  <c r="D217" i="2"/>
  <c r="D201" i="2"/>
  <c r="D185" i="2"/>
  <c r="D169" i="2"/>
  <c r="D153" i="2"/>
  <c r="D137" i="2"/>
  <c r="D121" i="2"/>
  <c r="D105" i="2"/>
  <c r="D89" i="2"/>
  <c r="D73" i="2"/>
  <c r="D57" i="2"/>
  <c r="D41" i="2"/>
  <c r="D25" i="2"/>
  <c r="D262" i="2"/>
  <c r="D38" i="2"/>
  <c r="D165" i="2"/>
  <c r="D276" i="2"/>
  <c r="D296" i="2"/>
  <c r="D280" i="2"/>
  <c r="D264" i="2"/>
  <c r="D248" i="2"/>
  <c r="D232" i="2"/>
  <c r="D216" i="2"/>
  <c r="D200" i="2"/>
  <c r="D184" i="2"/>
  <c r="D168" i="2"/>
  <c r="D152" i="2"/>
  <c r="D136" i="2"/>
  <c r="D120" i="2"/>
  <c r="D104" i="2"/>
  <c r="D88" i="2"/>
  <c r="D72" i="2"/>
  <c r="D56" i="2"/>
  <c r="D40" i="2"/>
  <c r="C9" i="2"/>
  <c r="I298" i="1"/>
  <c r="I282" i="1"/>
  <c r="I266" i="1"/>
  <c r="I250" i="1"/>
  <c r="I234" i="1"/>
  <c r="I218" i="1"/>
  <c r="I202" i="1"/>
  <c r="I186" i="1"/>
  <c r="I170" i="1"/>
  <c r="I154" i="1"/>
  <c r="I138" i="1"/>
  <c r="I122" i="1"/>
  <c r="I106" i="1"/>
  <c r="I90" i="1"/>
  <c r="I74" i="1"/>
  <c r="I58" i="1"/>
  <c r="I42" i="1"/>
  <c r="I26" i="1"/>
  <c r="I10" i="1"/>
  <c r="I297" i="1"/>
  <c r="I281" i="1"/>
  <c r="I249" i="1"/>
  <c r="I233" i="1"/>
  <c r="I217" i="1"/>
  <c r="I201" i="1"/>
  <c r="I169" i="1"/>
  <c r="I137" i="1"/>
  <c r="I89" i="1"/>
  <c r="I57" i="1"/>
  <c r="I41" i="1"/>
  <c r="I25" i="1"/>
  <c r="I9" i="1"/>
  <c r="I185" i="1"/>
  <c r="G8" i="1"/>
  <c r="I216" i="1"/>
  <c r="I120" i="1"/>
  <c r="I265" i="1"/>
  <c r="I73" i="1"/>
  <c r="I280" i="1"/>
  <c r="I104" i="1"/>
  <c r="I295" i="1"/>
  <c r="I279" i="1"/>
  <c r="I263" i="1"/>
  <c r="I247" i="1"/>
  <c r="I231" i="1"/>
  <c r="I215" i="1"/>
  <c r="I199" i="1"/>
  <c r="I183" i="1"/>
  <c r="I167" i="1"/>
  <c r="I151" i="1"/>
  <c r="I135" i="1"/>
  <c r="I119" i="1"/>
  <c r="I103" i="1"/>
  <c r="I87" i="1"/>
  <c r="I71" i="1"/>
  <c r="I55" i="1"/>
  <c r="I39" i="1"/>
  <c r="I23" i="1"/>
  <c r="I296" i="1"/>
  <c r="I232" i="1"/>
  <c r="I136" i="1"/>
  <c r="I56" i="1"/>
  <c r="I294" i="1"/>
  <c r="I278" i="1"/>
  <c r="I262" i="1"/>
  <c r="I246" i="1"/>
  <c r="I230" i="1"/>
  <c r="I214" i="1"/>
  <c r="I198" i="1"/>
  <c r="I182" i="1"/>
  <c r="I166" i="1"/>
  <c r="I150" i="1"/>
  <c r="I134" i="1"/>
  <c r="I118" i="1"/>
  <c r="I102" i="1"/>
  <c r="I86" i="1"/>
  <c r="I70" i="1"/>
  <c r="I54" i="1"/>
  <c r="I38" i="1"/>
  <c r="I22" i="1"/>
  <c r="I153" i="1"/>
  <c r="I264" i="1"/>
  <c r="I152" i="1"/>
  <c r="I72" i="1"/>
  <c r="I293" i="1"/>
  <c r="I277" i="1"/>
  <c r="I261" i="1"/>
  <c r="I245" i="1"/>
  <c r="I229" i="1"/>
  <c r="I213" i="1"/>
  <c r="I197" i="1"/>
  <c r="I181" i="1"/>
  <c r="I165" i="1"/>
  <c r="I149" i="1"/>
  <c r="I133" i="1"/>
  <c r="I117" i="1"/>
  <c r="I101" i="1"/>
  <c r="I85" i="1"/>
  <c r="I69" i="1"/>
  <c r="I53" i="1"/>
  <c r="I37" i="1"/>
  <c r="I21" i="1"/>
  <c r="I105" i="1"/>
  <c r="I248" i="1"/>
  <c r="I168" i="1"/>
  <c r="I88" i="1"/>
  <c r="I8" i="1"/>
  <c r="J8" i="1" s="1"/>
  <c r="G9" i="1" s="1"/>
  <c r="I292" i="1"/>
  <c r="I276" i="1"/>
  <c r="I260" i="1"/>
  <c r="I244" i="1"/>
  <c r="I228" i="1"/>
  <c r="I212" i="1"/>
  <c r="I196" i="1"/>
  <c r="I180" i="1"/>
  <c r="I164" i="1"/>
  <c r="I148" i="1"/>
  <c r="I132" i="1"/>
  <c r="I116" i="1"/>
  <c r="I100" i="1"/>
  <c r="I84" i="1"/>
  <c r="I68" i="1"/>
  <c r="I52" i="1"/>
  <c r="I36" i="1"/>
  <c r="I20" i="1"/>
  <c r="I184" i="1"/>
  <c r="I40" i="1"/>
  <c r="I307" i="1"/>
  <c r="I291" i="1"/>
  <c r="I275" i="1"/>
  <c r="I259" i="1"/>
  <c r="I243" i="1"/>
  <c r="I227" i="1"/>
  <c r="I211" i="1"/>
  <c r="I195" i="1"/>
  <c r="I179" i="1"/>
  <c r="I163" i="1"/>
  <c r="I147" i="1"/>
  <c r="I131" i="1"/>
  <c r="I115" i="1"/>
  <c r="I99" i="1"/>
  <c r="I83" i="1"/>
  <c r="I67" i="1"/>
  <c r="I51" i="1"/>
  <c r="I35" i="1"/>
  <c r="I19" i="1"/>
  <c r="M10" i="1"/>
  <c r="I121" i="1"/>
  <c r="I200" i="1"/>
  <c r="I24" i="1"/>
  <c r="I306" i="1"/>
  <c r="I290" i="1"/>
  <c r="I274" i="1"/>
  <c r="I258" i="1"/>
  <c r="I242" i="1"/>
  <c r="I226" i="1"/>
  <c r="I210" i="1"/>
  <c r="I194" i="1"/>
  <c r="I178" i="1"/>
  <c r="I162" i="1"/>
  <c r="I146" i="1"/>
  <c r="I130" i="1"/>
  <c r="I114" i="1"/>
  <c r="I98" i="1"/>
  <c r="I82" i="1"/>
  <c r="I66" i="1"/>
  <c r="I50" i="1"/>
  <c r="I34" i="1"/>
  <c r="H9" i="1" l="1"/>
  <c r="E14" i="3"/>
  <c r="H14" i="3" s="1"/>
  <c r="C15" i="3" s="1"/>
  <c r="E9" i="2"/>
  <c r="F9" i="2" s="1"/>
  <c r="C10" i="2"/>
  <c r="E10" i="2" s="1"/>
  <c r="F10" i="2" s="1"/>
  <c r="H8" i="1"/>
  <c r="M2" i="1" s="1"/>
  <c r="J9" i="1"/>
  <c r="E15" i="3" l="1"/>
  <c r="H15" i="3" s="1"/>
  <c r="C16" i="3" s="1"/>
  <c r="C11" i="2"/>
  <c r="E11" i="2" s="1"/>
  <c r="F11" i="2"/>
  <c r="C12" i="2" s="1"/>
  <c r="E12" i="2" s="1"/>
  <c r="F12" i="2" s="1"/>
  <c r="G10" i="1"/>
  <c r="J10" i="1"/>
  <c r="E16" i="3" l="1"/>
  <c r="H16" i="3" s="1"/>
  <c r="C17" i="3" s="1"/>
  <c r="C13" i="2"/>
  <c r="E13" i="2" s="1"/>
  <c r="F13" i="2"/>
  <c r="C14" i="2" s="1"/>
  <c r="E14" i="2" s="1"/>
  <c r="F14" i="2" s="1"/>
  <c r="C15" i="2" s="1"/>
  <c r="E15" i="2" s="1"/>
  <c r="F15" i="2" s="1"/>
  <c r="C16" i="2"/>
  <c r="E16" i="2" s="1"/>
  <c r="F16" i="2" s="1"/>
  <c r="G11" i="1"/>
  <c r="J11" i="1"/>
  <c r="H10" i="1"/>
  <c r="E17" i="3" l="1"/>
  <c r="H17" i="3" s="1"/>
  <c r="C18" i="3" s="1"/>
  <c r="C17" i="2"/>
  <c r="E17" i="2" s="1"/>
  <c r="F17" i="2" s="1"/>
  <c r="G12" i="1"/>
  <c r="J12" i="1"/>
  <c r="H11" i="1"/>
  <c r="E18" i="3" l="1"/>
  <c r="H18" i="3" s="1"/>
  <c r="C19" i="3" s="1"/>
  <c r="C18" i="2"/>
  <c r="E18" i="2" s="1"/>
  <c r="F18" i="2"/>
  <c r="G13" i="1"/>
  <c r="J13" i="1"/>
  <c r="H12" i="1"/>
  <c r="E19" i="3" l="1"/>
  <c r="H19" i="3" s="1"/>
  <c r="C20" i="3" s="1"/>
  <c r="C19" i="2"/>
  <c r="E19" i="2" s="1"/>
  <c r="F19" i="2" s="1"/>
  <c r="G14" i="1"/>
  <c r="J14" i="1"/>
  <c r="H13" i="1"/>
  <c r="E20" i="3" l="1"/>
  <c r="H20" i="3" s="1"/>
  <c r="C21" i="3" s="1"/>
  <c r="C20" i="2"/>
  <c r="E20" i="2" s="1"/>
  <c r="F20" i="2" s="1"/>
  <c r="G15" i="1"/>
  <c r="J15" i="1"/>
  <c r="H14" i="1"/>
  <c r="E21" i="3" l="1"/>
  <c r="H21" i="3" s="1"/>
  <c r="C22" i="3" s="1"/>
  <c r="C21" i="2"/>
  <c r="E21" i="2" s="1"/>
  <c r="F21" i="2" s="1"/>
  <c r="G16" i="1"/>
  <c r="J16" i="1"/>
  <c r="H15" i="1"/>
  <c r="E22" i="3" l="1"/>
  <c r="H22" i="3"/>
  <c r="C23" i="3" s="1"/>
  <c r="C22" i="2"/>
  <c r="E22" i="2" s="1"/>
  <c r="F22" i="2"/>
  <c r="G17" i="1"/>
  <c r="J17" i="1"/>
  <c r="H16" i="1"/>
  <c r="E23" i="3" l="1"/>
  <c r="H23" i="3" s="1"/>
  <c r="C24" i="3" s="1"/>
  <c r="C23" i="2"/>
  <c r="E23" i="2" s="1"/>
  <c r="F23" i="2"/>
  <c r="G18" i="1"/>
  <c r="J18" i="1"/>
  <c r="H17" i="1"/>
  <c r="E24" i="3" l="1"/>
  <c r="H24" i="3" s="1"/>
  <c r="C25" i="3" s="1"/>
  <c r="C24" i="2"/>
  <c r="E24" i="2" s="1"/>
  <c r="F24" i="2"/>
  <c r="G19" i="1"/>
  <c r="J19" i="1"/>
  <c r="H18" i="1"/>
  <c r="E25" i="3" l="1"/>
  <c r="H25" i="3" s="1"/>
  <c r="C26" i="3" s="1"/>
  <c r="C25" i="2"/>
  <c r="E25" i="2" s="1"/>
  <c r="F25" i="2"/>
  <c r="G20" i="1"/>
  <c r="J20" i="1"/>
  <c r="H19" i="1"/>
  <c r="E26" i="3" l="1"/>
  <c r="H26" i="3"/>
  <c r="C27" i="3" s="1"/>
  <c r="C26" i="2"/>
  <c r="E26" i="2" s="1"/>
  <c r="F26" i="2"/>
  <c r="G21" i="1"/>
  <c r="J21" i="1"/>
  <c r="H20" i="1"/>
  <c r="E27" i="3" l="1"/>
  <c r="H27" i="3"/>
  <c r="C28" i="3" s="1"/>
  <c r="C27" i="2"/>
  <c r="E27" i="2" s="1"/>
  <c r="F27" i="2" s="1"/>
  <c r="G22" i="1"/>
  <c r="J22" i="1"/>
  <c r="H21" i="1"/>
  <c r="E28" i="3" l="1"/>
  <c r="H28" i="3" s="1"/>
  <c r="C29" i="3" s="1"/>
  <c r="C28" i="2"/>
  <c r="E28" i="2" s="1"/>
  <c r="F28" i="2" s="1"/>
  <c r="G23" i="1"/>
  <c r="J23" i="1"/>
  <c r="H22" i="1"/>
  <c r="E29" i="3" l="1"/>
  <c r="H29" i="3" s="1"/>
  <c r="C30" i="3" s="1"/>
  <c r="C29" i="2"/>
  <c r="E29" i="2" s="1"/>
  <c r="F29" i="2" s="1"/>
  <c r="G24" i="1"/>
  <c r="J24" i="1"/>
  <c r="H23" i="1"/>
  <c r="E30" i="3" l="1"/>
  <c r="H30" i="3" s="1"/>
  <c r="C31" i="3" s="1"/>
  <c r="C30" i="2"/>
  <c r="E30" i="2" s="1"/>
  <c r="F30" i="2" s="1"/>
  <c r="G25" i="1"/>
  <c r="J25" i="1"/>
  <c r="H24" i="1"/>
  <c r="E31" i="3" l="1"/>
  <c r="H31" i="3"/>
  <c r="C32" i="3" s="1"/>
  <c r="C31" i="2"/>
  <c r="E31" i="2" s="1"/>
  <c r="F31" i="2" s="1"/>
  <c r="G26" i="1"/>
  <c r="J26" i="1"/>
  <c r="H25" i="1"/>
  <c r="E32" i="3" l="1"/>
  <c r="H32" i="3"/>
  <c r="C33" i="3" s="1"/>
  <c r="C32" i="2"/>
  <c r="E32" i="2" s="1"/>
  <c r="F32" i="2" s="1"/>
  <c r="G27" i="1"/>
  <c r="J27" i="1"/>
  <c r="H26" i="1"/>
  <c r="E33" i="3" l="1"/>
  <c r="H33" i="3" s="1"/>
  <c r="C34" i="3" s="1"/>
  <c r="C33" i="2"/>
  <c r="E33" i="2" s="1"/>
  <c r="F33" i="2" s="1"/>
  <c r="G28" i="1"/>
  <c r="J28" i="1"/>
  <c r="H27" i="1"/>
  <c r="E34" i="3" l="1"/>
  <c r="H34" i="3" s="1"/>
  <c r="C35" i="3" s="1"/>
  <c r="C34" i="2"/>
  <c r="E34" i="2" s="1"/>
  <c r="F34" i="2" s="1"/>
  <c r="G29" i="1"/>
  <c r="J29" i="1"/>
  <c r="H28" i="1"/>
  <c r="E35" i="3" l="1"/>
  <c r="H35" i="3"/>
  <c r="C36" i="3" s="1"/>
  <c r="C35" i="2"/>
  <c r="E35" i="2" s="1"/>
  <c r="F35" i="2" s="1"/>
  <c r="G30" i="1"/>
  <c r="J30" i="1"/>
  <c r="H29" i="1"/>
  <c r="E36" i="3" l="1"/>
  <c r="H36" i="3" s="1"/>
  <c r="C37" i="3" s="1"/>
  <c r="C36" i="2"/>
  <c r="E36" i="2" s="1"/>
  <c r="F36" i="2"/>
  <c r="G31" i="1"/>
  <c r="J31" i="1"/>
  <c r="H30" i="1"/>
  <c r="E37" i="3" l="1"/>
  <c r="H37" i="3"/>
  <c r="C38" i="3" s="1"/>
  <c r="C37" i="2"/>
  <c r="E37" i="2" s="1"/>
  <c r="F37" i="2" s="1"/>
  <c r="G32" i="1"/>
  <c r="J32" i="1"/>
  <c r="H31" i="1"/>
  <c r="E38" i="3" l="1"/>
  <c r="H38" i="3" s="1"/>
  <c r="C39" i="3" s="1"/>
  <c r="C38" i="2"/>
  <c r="E38" i="2" s="1"/>
  <c r="F38" i="2"/>
  <c r="G33" i="1"/>
  <c r="J33" i="1"/>
  <c r="H32" i="1"/>
  <c r="E39" i="3" l="1"/>
  <c r="H39" i="3"/>
  <c r="C40" i="3" s="1"/>
  <c r="C39" i="2"/>
  <c r="E39" i="2" s="1"/>
  <c r="F39" i="2"/>
  <c r="G34" i="1"/>
  <c r="J34" i="1"/>
  <c r="H33" i="1"/>
  <c r="E40" i="3" l="1"/>
  <c r="H40" i="3" s="1"/>
  <c r="C41" i="3" s="1"/>
  <c r="C40" i="2"/>
  <c r="E40" i="2" s="1"/>
  <c r="F40" i="2"/>
  <c r="G35" i="1"/>
  <c r="J35" i="1"/>
  <c r="H34" i="1"/>
  <c r="E41" i="3" l="1"/>
  <c r="H41" i="3" s="1"/>
  <c r="C42" i="3" s="1"/>
  <c r="C41" i="2"/>
  <c r="E41" i="2" s="1"/>
  <c r="F41" i="2"/>
  <c r="G36" i="1"/>
  <c r="J36" i="1"/>
  <c r="H35" i="1"/>
  <c r="E42" i="3" l="1"/>
  <c r="H42" i="3" s="1"/>
  <c r="C43" i="3" s="1"/>
  <c r="C42" i="2"/>
  <c r="E42" i="2" s="1"/>
  <c r="F42" i="2"/>
  <c r="G37" i="1"/>
  <c r="J37" i="1"/>
  <c r="H36" i="1"/>
  <c r="E43" i="3" l="1"/>
  <c r="H43" i="3" s="1"/>
  <c r="C44" i="3" s="1"/>
  <c r="C43" i="2"/>
  <c r="E43" i="2" s="1"/>
  <c r="F43" i="2" s="1"/>
  <c r="G38" i="1"/>
  <c r="J38" i="1"/>
  <c r="H37" i="1"/>
  <c r="E44" i="3" l="1"/>
  <c r="H44" i="3" s="1"/>
  <c r="C45" i="3" s="1"/>
  <c r="C44" i="2"/>
  <c r="E44" i="2" s="1"/>
  <c r="F44" i="2" s="1"/>
  <c r="G39" i="1"/>
  <c r="J39" i="1"/>
  <c r="H38" i="1"/>
  <c r="E45" i="3" l="1"/>
  <c r="H45" i="3" s="1"/>
  <c r="C46" i="3" s="1"/>
  <c r="C45" i="2"/>
  <c r="E45" i="2" s="1"/>
  <c r="F45" i="2" s="1"/>
  <c r="G40" i="1"/>
  <c r="J40" i="1"/>
  <c r="H39" i="1"/>
  <c r="E46" i="3" l="1"/>
  <c r="H46" i="3" s="1"/>
  <c r="C47" i="3" s="1"/>
  <c r="C46" i="2"/>
  <c r="E46" i="2" s="1"/>
  <c r="F46" i="2" s="1"/>
  <c r="G41" i="1"/>
  <c r="J41" i="1"/>
  <c r="H40" i="1"/>
  <c r="E47" i="3" l="1"/>
  <c r="H47" i="3" s="1"/>
  <c r="C48" i="3" s="1"/>
  <c r="C47" i="2"/>
  <c r="E47" i="2" s="1"/>
  <c r="F47" i="2" s="1"/>
  <c r="G42" i="1"/>
  <c r="J42" i="1"/>
  <c r="H41" i="1"/>
  <c r="E48" i="3" l="1"/>
  <c r="H48" i="3"/>
  <c r="C49" i="3" s="1"/>
  <c r="C48" i="2"/>
  <c r="E48" i="2" s="1"/>
  <c r="F48" i="2" s="1"/>
  <c r="G43" i="1"/>
  <c r="J43" i="1"/>
  <c r="H42" i="1"/>
  <c r="E49" i="3" l="1"/>
  <c r="H49" i="3"/>
  <c r="C50" i="3" s="1"/>
  <c r="C49" i="2"/>
  <c r="E49" i="2" s="1"/>
  <c r="F49" i="2" s="1"/>
  <c r="G44" i="1"/>
  <c r="J44" i="1"/>
  <c r="H43" i="1"/>
  <c r="E50" i="3" l="1"/>
  <c r="H50" i="3"/>
  <c r="C51" i="3" s="1"/>
  <c r="C50" i="2"/>
  <c r="E50" i="2" s="1"/>
  <c r="F50" i="2"/>
  <c r="G45" i="1"/>
  <c r="J45" i="1"/>
  <c r="H44" i="1"/>
  <c r="E51" i="3" l="1"/>
  <c r="H51" i="3"/>
  <c r="C52" i="3" s="1"/>
  <c r="C51" i="2"/>
  <c r="E51" i="2" s="1"/>
  <c r="F51" i="2" s="1"/>
  <c r="G46" i="1"/>
  <c r="J46" i="1"/>
  <c r="H45" i="1"/>
  <c r="E52" i="3" l="1"/>
  <c r="H52" i="3"/>
  <c r="C53" i="3" s="1"/>
  <c r="C52" i="2"/>
  <c r="E52" i="2" s="1"/>
  <c r="F52" i="2" s="1"/>
  <c r="G47" i="1"/>
  <c r="J47" i="1"/>
  <c r="H46" i="1"/>
  <c r="E53" i="3" l="1"/>
  <c r="H53" i="3" s="1"/>
  <c r="C54" i="3" s="1"/>
  <c r="C53" i="2"/>
  <c r="E53" i="2" s="1"/>
  <c r="F53" i="2" s="1"/>
  <c r="G48" i="1"/>
  <c r="J48" i="1"/>
  <c r="H47" i="1"/>
  <c r="E54" i="3" l="1"/>
  <c r="H54" i="3" s="1"/>
  <c r="C55" i="3" s="1"/>
  <c r="C54" i="2"/>
  <c r="E54" i="2" s="1"/>
  <c r="F54" i="2"/>
  <c r="G49" i="1"/>
  <c r="J49" i="1"/>
  <c r="H48" i="1"/>
  <c r="E55" i="3" l="1"/>
  <c r="H55" i="3"/>
  <c r="C56" i="3" s="1"/>
  <c r="C55" i="2"/>
  <c r="E55" i="2" s="1"/>
  <c r="F55" i="2"/>
  <c r="J50" i="1"/>
  <c r="G50" i="1"/>
  <c r="H50" i="1" s="1"/>
  <c r="H49" i="1"/>
  <c r="E56" i="3" l="1"/>
  <c r="H56" i="3"/>
  <c r="C57" i="3" s="1"/>
  <c r="C56" i="2"/>
  <c r="E56" i="2" s="1"/>
  <c r="F56" i="2"/>
  <c r="G51" i="1"/>
  <c r="J51" i="1"/>
  <c r="E57" i="3" l="1"/>
  <c r="H57" i="3" s="1"/>
  <c r="C58" i="3" s="1"/>
  <c r="C57" i="2"/>
  <c r="E57" i="2" s="1"/>
  <c r="F57" i="2"/>
  <c r="G52" i="1"/>
  <c r="J52" i="1"/>
  <c r="H51" i="1"/>
  <c r="E58" i="3" l="1"/>
  <c r="H58" i="3"/>
  <c r="C59" i="3" s="1"/>
  <c r="C58" i="2"/>
  <c r="E58" i="2" s="1"/>
  <c r="F58" i="2" s="1"/>
  <c r="G53" i="1"/>
  <c r="J53" i="1"/>
  <c r="H52" i="1"/>
  <c r="E59" i="3" l="1"/>
  <c r="H59" i="3" s="1"/>
  <c r="C60" i="3" s="1"/>
  <c r="C59" i="2"/>
  <c r="E59" i="2" s="1"/>
  <c r="F59" i="2" s="1"/>
  <c r="G54" i="1"/>
  <c r="J54" i="1"/>
  <c r="H53" i="1"/>
  <c r="E60" i="3" l="1"/>
  <c r="H60" i="3" s="1"/>
  <c r="C61" i="3" s="1"/>
  <c r="C60" i="2"/>
  <c r="E60" i="2" s="1"/>
  <c r="F60" i="2" s="1"/>
  <c r="G55" i="1"/>
  <c r="J55" i="1"/>
  <c r="H54" i="1"/>
  <c r="E61" i="3" l="1"/>
  <c r="H61" i="3"/>
  <c r="C62" i="3" s="1"/>
  <c r="C61" i="2"/>
  <c r="E61" i="2" s="1"/>
  <c r="F61" i="2" s="1"/>
  <c r="G56" i="1"/>
  <c r="H56" i="1" s="1"/>
  <c r="J56" i="1"/>
  <c r="H55" i="1"/>
  <c r="E62" i="3" l="1"/>
  <c r="H62" i="3" s="1"/>
  <c r="C63" i="3" s="1"/>
  <c r="C62" i="2"/>
  <c r="E62" i="2" s="1"/>
  <c r="F62" i="2" s="1"/>
  <c r="J57" i="1"/>
  <c r="G57" i="1"/>
  <c r="H57" i="1" s="1"/>
  <c r="E63" i="3" l="1"/>
  <c r="H63" i="3"/>
  <c r="C64" i="3" s="1"/>
  <c r="C63" i="2"/>
  <c r="E63" i="2" s="1"/>
  <c r="F63" i="2" s="1"/>
  <c r="G58" i="1"/>
  <c r="J58" i="1"/>
  <c r="E64" i="3" l="1"/>
  <c r="H64" i="3"/>
  <c r="C65" i="3" s="1"/>
  <c r="C64" i="2"/>
  <c r="E64" i="2" s="1"/>
  <c r="F64" i="2" s="1"/>
  <c r="G59" i="1"/>
  <c r="J59" i="1"/>
  <c r="H58" i="1"/>
  <c r="E65" i="3" l="1"/>
  <c r="H65" i="3"/>
  <c r="C66" i="3" s="1"/>
  <c r="C65" i="2"/>
  <c r="E65" i="2" s="1"/>
  <c r="F65" i="2" s="1"/>
  <c r="G60" i="1"/>
  <c r="H60" i="1" s="1"/>
  <c r="J60" i="1"/>
  <c r="H59" i="1"/>
  <c r="E66" i="3" l="1"/>
  <c r="H66" i="3" s="1"/>
  <c r="C67" i="3" s="1"/>
  <c r="C66" i="2"/>
  <c r="E66" i="2" s="1"/>
  <c r="F66" i="2" s="1"/>
  <c r="G61" i="1"/>
  <c r="H61" i="1" s="1"/>
  <c r="J61" i="1"/>
  <c r="E67" i="3" l="1"/>
  <c r="H67" i="3"/>
  <c r="C68" i="3" s="1"/>
  <c r="C67" i="2"/>
  <c r="E67" i="2" s="1"/>
  <c r="F67" i="2" s="1"/>
  <c r="G62" i="1"/>
  <c r="J62" i="1"/>
  <c r="E68" i="3" l="1"/>
  <c r="H68" i="3" s="1"/>
  <c r="C69" i="3" s="1"/>
  <c r="C68" i="2"/>
  <c r="E68" i="2" s="1"/>
  <c r="F68" i="2" s="1"/>
  <c r="G63" i="1"/>
  <c r="H63" i="1" s="1"/>
  <c r="J63" i="1"/>
  <c r="H62" i="1"/>
  <c r="E69" i="3" l="1"/>
  <c r="H69" i="3" s="1"/>
  <c r="C70" i="3" s="1"/>
  <c r="C69" i="2"/>
  <c r="E69" i="2" s="1"/>
  <c r="F69" i="2" s="1"/>
  <c r="G64" i="1"/>
  <c r="J64" i="1"/>
  <c r="E70" i="3" l="1"/>
  <c r="H70" i="3" s="1"/>
  <c r="C70" i="2"/>
  <c r="E70" i="2" s="1"/>
  <c r="F70" i="2"/>
  <c r="G65" i="1"/>
  <c r="J65" i="1"/>
  <c r="H64" i="1"/>
  <c r="C71" i="3" l="1"/>
  <c r="E71" i="3"/>
  <c r="H71" i="3" s="1"/>
  <c r="C72" i="3" s="1"/>
  <c r="C71" i="2"/>
  <c r="E71" i="2" s="1"/>
  <c r="F71" i="2"/>
  <c r="G66" i="1"/>
  <c r="J66" i="1"/>
  <c r="H65" i="1"/>
  <c r="E72" i="3" l="1"/>
  <c r="H72" i="3" s="1"/>
  <c r="C73" i="3" s="1"/>
  <c r="C72" i="2"/>
  <c r="E72" i="2" s="1"/>
  <c r="F72" i="2"/>
  <c r="J67" i="1"/>
  <c r="G67" i="1"/>
  <c r="H67" i="1" s="1"/>
  <c r="H66" i="1"/>
  <c r="E73" i="3" l="1"/>
  <c r="H73" i="3" s="1"/>
  <c r="C74" i="3" s="1"/>
  <c r="C73" i="2"/>
  <c r="E73" i="2" s="1"/>
  <c r="F73" i="2" s="1"/>
  <c r="G68" i="1"/>
  <c r="J68" i="1"/>
  <c r="E74" i="3" l="1"/>
  <c r="H74" i="3" s="1"/>
  <c r="C75" i="3" s="1"/>
  <c r="C74" i="2"/>
  <c r="E74" i="2" s="1"/>
  <c r="F74" i="2"/>
  <c r="G69" i="1"/>
  <c r="J69" i="1"/>
  <c r="H68" i="1"/>
  <c r="E75" i="3" l="1"/>
  <c r="H75" i="3" s="1"/>
  <c r="C76" i="3" s="1"/>
  <c r="C75" i="2"/>
  <c r="E75" i="2" s="1"/>
  <c r="F75" i="2" s="1"/>
  <c r="G70" i="1"/>
  <c r="J70" i="1"/>
  <c r="H69" i="1"/>
  <c r="E76" i="3" l="1"/>
  <c r="H76" i="3" s="1"/>
  <c r="C77" i="3" s="1"/>
  <c r="C76" i="2"/>
  <c r="E76" i="2" s="1"/>
  <c r="F76" i="2" s="1"/>
  <c r="G71" i="1"/>
  <c r="J71" i="1"/>
  <c r="H70" i="1"/>
  <c r="E77" i="3" l="1"/>
  <c r="H77" i="3" s="1"/>
  <c r="C78" i="3" s="1"/>
  <c r="C77" i="2"/>
  <c r="E77" i="2" s="1"/>
  <c r="F77" i="2" s="1"/>
  <c r="G72" i="1"/>
  <c r="J72" i="1"/>
  <c r="H71" i="1"/>
  <c r="E78" i="3" l="1"/>
  <c r="H78" i="3" s="1"/>
  <c r="C79" i="3" s="1"/>
  <c r="C78" i="2"/>
  <c r="E78" i="2" s="1"/>
  <c r="F78" i="2" s="1"/>
  <c r="G73" i="1"/>
  <c r="J73" i="1"/>
  <c r="H72" i="1"/>
  <c r="E79" i="3" l="1"/>
  <c r="H79" i="3" s="1"/>
  <c r="C80" i="3" s="1"/>
  <c r="C79" i="2"/>
  <c r="E79" i="2" s="1"/>
  <c r="F79" i="2" s="1"/>
  <c r="G74" i="1"/>
  <c r="J74" i="1"/>
  <c r="H73" i="1"/>
  <c r="E80" i="3" l="1"/>
  <c r="H80" i="3"/>
  <c r="C81" i="3" s="1"/>
  <c r="C80" i="2"/>
  <c r="E80" i="2" s="1"/>
  <c r="F80" i="2" s="1"/>
  <c r="G75" i="1"/>
  <c r="J75" i="1"/>
  <c r="H74" i="1"/>
  <c r="E81" i="3" l="1"/>
  <c r="H81" i="3" s="1"/>
  <c r="C82" i="3" s="1"/>
  <c r="C81" i="2"/>
  <c r="E81" i="2" s="1"/>
  <c r="F81" i="2" s="1"/>
  <c r="G76" i="1"/>
  <c r="J76" i="1"/>
  <c r="H75" i="1"/>
  <c r="E82" i="3" l="1"/>
  <c r="H82" i="3" s="1"/>
  <c r="C82" i="2"/>
  <c r="E82" i="2" s="1"/>
  <c r="F82" i="2" s="1"/>
  <c r="G77" i="1"/>
  <c r="J77" i="1"/>
  <c r="H76" i="1"/>
  <c r="C83" i="3" l="1"/>
  <c r="D3" i="3"/>
  <c r="E83" i="3"/>
  <c r="H83" i="3" s="1"/>
  <c r="C84" i="3" s="1"/>
  <c r="C83" i="2"/>
  <c r="E83" i="2" s="1"/>
  <c r="F83" i="2" s="1"/>
  <c r="G78" i="1"/>
  <c r="J78" i="1"/>
  <c r="H77" i="1"/>
  <c r="E84" i="3" l="1"/>
  <c r="H84" i="3" s="1"/>
  <c r="C85" i="3" s="1"/>
  <c r="C84" i="2"/>
  <c r="E84" i="2" s="1"/>
  <c r="F84" i="2"/>
  <c r="G79" i="1"/>
  <c r="J79" i="1"/>
  <c r="H78" i="1"/>
  <c r="E85" i="3" l="1"/>
  <c r="H85" i="3"/>
  <c r="C86" i="3" s="1"/>
  <c r="C85" i="2"/>
  <c r="E85" i="2" s="1"/>
  <c r="F85" i="2" s="1"/>
  <c r="G80" i="1"/>
  <c r="J80" i="1"/>
  <c r="H79" i="1"/>
  <c r="E86" i="3" l="1"/>
  <c r="H86" i="3"/>
  <c r="C87" i="3" s="1"/>
  <c r="C86" i="2"/>
  <c r="E86" i="2" s="1"/>
  <c r="F86" i="2"/>
  <c r="G81" i="1"/>
  <c r="J81" i="1"/>
  <c r="H80" i="1"/>
  <c r="E87" i="3" l="1"/>
  <c r="H87" i="3"/>
  <c r="C88" i="3" s="1"/>
  <c r="C87" i="2"/>
  <c r="E87" i="2" s="1"/>
  <c r="F87" i="2"/>
  <c r="G82" i="1"/>
  <c r="J82" i="1"/>
  <c r="H81" i="1"/>
  <c r="E88" i="3" l="1"/>
  <c r="H88" i="3"/>
  <c r="C89" i="3" s="1"/>
  <c r="C88" i="2"/>
  <c r="E88" i="2" s="1"/>
  <c r="F88" i="2"/>
  <c r="G83" i="1"/>
  <c r="J83" i="1"/>
  <c r="H82" i="1"/>
  <c r="E89" i="3" l="1"/>
  <c r="H89" i="3"/>
  <c r="C90" i="3" s="1"/>
  <c r="C89" i="2"/>
  <c r="E89" i="2" s="1"/>
  <c r="F89" i="2"/>
  <c r="G84" i="1"/>
  <c r="J84" i="1"/>
  <c r="H83" i="1"/>
  <c r="E90" i="3" l="1"/>
  <c r="H90" i="3" s="1"/>
  <c r="C91" i="3" s="1"/>
  <c r="C90" i="2"/>
  <c r="E90" i="2" s="1"/>
  <c r="F90" i="2"/>
  <c r="G85" i="1"/>
  <c r="J85" i="1"/>
  <c r="H84" i="1"/>
  <c r="E91" i="3" l="1"/>
  <c r="H91" i="3" s="1"/>
  <c r="C92" i="3" s="1"/>
  <c r="C91" i="2"/>
  <c r="E91" i="2" s="1"/>
  <c r="F91" i="2" s="1"/>
  <c r="G86" i="1"/>
  <c r="J86" i="1"/>
  <c r="H85" i="1"/>
  <c r="E92" i="3" l="1"/>
  <c r="H92" i="3"/>
  <c r="C93" i="3" s="1"/>
  <c r="C92" i="2"/>
  <c r="E92" i="2" s="1"/>
  <c r="F92" i="2" s="1"/>
  <c r="G87" i="1"/>
  <c r="J87" i="1"/>
  <c r="H86" i="1"/>
  <c r="E93" i="3" l="1"/>
  <c r="H93" i="3" s="1"/>
  <c r="C94" i="3" s="1"/>
  <c r="C93" i="2"/>
  <c r="E93" i="2" s="1"/>
  <c r="F93" i="2" s="1"/>
  <c r="G88" i="1"/>
  <c r="J88" i="1"/>
  <c r="H87" i="1"/>
  <c r="E94" i="3" l="1"/>
  <c r="H94" i="3"/>
  <c r="C95" i="3" s="1"/>
  <c r="C94" i="2"/>
  <c r="E94" i="2" s="1"/>
  <c r="F94" i="2" s="1"/>
  <c r="G89" i="1"/>
  <c r="J89" i="1"/>
  <c r="H88" i="1"/>
  <c r="E95" i="3" l="1"/>
  <c r="H95" i="3"/>
  <c r="C96" i="3" s="1"/>
  <c r="C95" i="2"/>
  <c r="E95" i="2" s="1"/>
  <c r="F95" i="2" s="1"/>
  <c r="G90" i="1"/>
  <c r="J90" i="1"/>
  <c r="H89" i="1"/>
  <c r="E96" i="3" l="1"/>
  <c r="H96" i="3"/>
  <c r="C97" i="3" s="1"/>
  <c r="C96" i="2"/>
  <c r="E96" i="2" s="1"/>
  <c r="F96" i="2" s="1"/>
  <c r="G91" i="1"/>
  <c r="J91" i="1"/>
  <c r="H90" i="1"/>
  <c r="E97" i="3" l="1"/>
  <c r="H97" i="3"/>
  <c r="C98" i="3" s="1"/>
  <c r="C97" i="2"/>
  <c r="E97" i="2" s="1"/>
  <c r="F97" i="2" s="1"/>
  <c r="G92" i="1"/>
  <c r="J92" i="1"/>
  <c r="H91" i="1"/>
  <c r="E98" i="3" l="1"/>
  <c r="H98" i="3" s="1"/>
  <c r="C99" i="3" s="1"/>
  <c r="C98" i="2"/>
  <c r="E98" i="2" s="1"/>
  <c r="F98" i="2" s="1"/>
  <c r="G93" i="1"/>
  <c r="J93" i="1"/>
  <c r="H92" i="1"/>
  <c r="E99" i="3" l="1"/>
  <c r="H99" i="3" s="1"/>
  <c r="C100" i="3" s="1"/>
  <c r="C99" i="2"/>
  <c r="E99" i="2" s="1"/>
  <c r="F99" i="2" s="1"/>
  <c r="G94" i="1"/>
  <c r="J94" i="1"/>
  <c r="H93" i="1"/>
  <c r="E100" i="3" l="1"/>
  <c r="H100" i="3" s="1"/>
  <c r="C101" i="3" s="1"/>
  <c r="C100" i="2"/>
  <c r="E100" i="2" s="1"/>
  <c r="F100" i="2" s="1"/>
  <c r="G95" i="1"/>
  <c r="J95" i="1"/>
  <c r="H94" i="1"/>
  <c r="E101" i="3" l="1"/>
  <c r="H101" i="3"/>
  <c r="C102" i="3" s="1"/>
  <c r="C101" i="2"/>
  <c r="E101" i="2" s="1"/>
  <c r="F101" i="2" s="1"/>
  <c r="G96" i="1"/>
  <c r="J96" i="1"/>
  <c r="H95" i="1"/>
  <c r="E102" i="3" l="1"/>
  <c r="H102" i="3"/>
  <c r="C103" i="3" s="1"/>
  <c r="C102" i="2"/>
  <c r="E102" i="2" s="1"/>
  <c r="F102" i="2"/>
  <c r="G97" i="1"/>
  <c r="J97" i="1"/>
  <c r="H96" i="1"/>
  <c r="E103" i="3" l="1"/>
  <c r="H103" i="3"/>
  <c r="C104" i="3" s="1"/>
  <c r="C103" i="2"/>
  <c r="E103" i="2" s="1"/>
  <c r="F103" i="2"/>
  <c r="G98" i="1"/>
  <c r="J98" i="1"/>
  <c r="H97" i="1"/>
  <c r="E104" i="3" l="1"/>
  <c r="H104" i="3" s="1"/>
  <c r="C105" i="3" s="1"/>
  <c r="C104" i="2"/>
  <c r="E104" i="2" s="1"/>
  <c r="F104" i="2"/>
  <c r="G99" i="1"/>
  <c r="J99" i="1"/>
  <c r="H98" i="1"/>
  <c r="E105" i="3" l="1"/>
  <c r="H105" i="3" s="1"/>
  <c r="C106" i="3" s="1"/>
  <c r="C105" i="2"/>
  <c r="E105" i="2" s="1"/>
  <c r="F105" i="2"/>
  <c r="G100" i="1"/>
  <c r="J100" i="1"/>
  <c r="H99" i="1"/>
  <c r="E106" i="3" l="1"/>
  <c r="H106" i="3"/>
  <c r="C107" i="3" s="1"/>
  <c r="C106" i="2"/>
  <c r="E106" i="2" s="1"/>
  <c r="F106" i="2"/>
  <c r="G101" i="1"/>
  <c r="J101" i="1"/>
  <c r="H100" i="1"/>
  <c r="E107" i="3" l="1"/>
  <c r="H107" i="3" s="1"/>
  <c r="C108" i="3" s="1"/>
  <c r="C107" i="2"/>
  <c r="E107" i="2" s="1"/>
  <c r="F107" i="2" s="1"/>
  <c r="G102" i="1"/>
  <c r="J102" i="1"/>
  <c r="H101" i="1"/>
  <c r="E108" i="3" l="1"/>
  <c r="H108" i="3"/>
  <c r="C109" i="3" s="1"/>
  <c r="C108" i="2"/>
  <c r="E108" i="2" s="1"/>
  <c r="F108" i="2" s="1"/>
  <c r="G103" i="1"/>
  <c r="J103" i="1"/>
  <c r="H102" i="1"/>
  <c r="E109" i="3" l="1"/>
  <c r="H109" i="3" s="1"/>
  <c r="C110" i="3" s="1"/>
  <c r="C109" i="2"/>
  <c r="E109" i="2" s="1"/>
  <c r="F109" i="2" s="1"/>
  <c r="G104" i="1"/>
  <c r="J104" i="1"/>
  <c r="H103" i="1"/>
  <c r="E110" i="3" l="1"/>
  <c r="H110" i="3"/>
  <c r="C111" i="3" s="1"/>
  <c r="C110" i="2"/>
  <c r="E110" i="2" s="1"/>
  <c r="F110" i="2" s="1"/>
  <c r="G105" i="1"/>
  <c r="J105" i="1"/>
  <c r="H104" i="1"/>
  <c r="E111" i="3" l="1"/>
  <c r="H111" i="3"/>
  <c r="C112" i="3" s="1"/>
  <c r="C111" i="2"/>
  <c r="E111" i="2" s="1"/>
  <c r="F111" i="2" s="1"/>
  <c r="G106" i="1"/>
  <c r="J106" i="1"/>
  <c r="H105" i="1"/>
  <c r="E112" i="3" l="1"/>
  <c r="H112" i="3" s="1"/>
  <c r="C113" i="3" s="1"/>
  <c r="C112" i="2"/>
  <c r="E112" i="2" s="1"/>
  <c r="F112" i="2" s="1"/>
  <c r="G107" i="1"/>
  <c r="J107" i="1"/>
  <c r="H106" i="1"/>
  <c r="E113" i="3" l="1"/>
  <c r="H113" i="3" s="1"/>
  <c r="C114" i="3" s="1"/>
  <c r="C113" i="2"/>
  <c r="E113" i="2" s="1"/>
  <c r="F113" i="2" s="1"/>
  <c r="G108" i="1"/>
  <c r="J108" i="1"/>
  <c r="H107" i="1"/>
  <c r="E114" i="3" l="1"/>
  <c r="H114" i="3" s="1"/>
  <c r="C115" i="3" s="1"/>
  <c r="C114" i="2"/>
  <c r="E114" i="2" s="1"/>
  <c r="F114" i="2" s="1"/>
  <c r="G109" i="1"/>
  <c r="J109" i="1"/>
  <c r="H108" i="1"/>
  <c r="E115" i="3" l="1"/>
  <c r="H115" i="3"/>
  <c r="C116" i="3" s="1"/>
  <c r="C115" i="2"/>
  <c r="E115" i="2" s="1"/>
  <c r="F115" i="2" s="1"/>
  <c r="G110" i="1"/>
  <c r="J110" i="1"/>
  <c r="H109" i="1"/>
  <c r="E116" i="3" l="1"/>
  <c r="H116" i="3"/>
  <c r="C117" i="3" s="1"/>
  <c r="C116" i="2"/>
  <c r="E116" i="2" s="1"/>
  <c r="F116" i="2"/>
  <c r="G111" i="1"/>
  <c r="J111" i="1"/>
  <c r="H110" i="1"/>
  <c r="E117" i="3" l="1"/>
  <c r="H117" i="3" s="1"/>
  <c r="C118" i="3" s="1"/>
  <c r="C117" i="2"/>
  <c r="E117" i="2" s="1"/>
  <c r="F117" i="2" s="1"/>
  <c r="G112" i="1"/>
  <c r="J112" i="1"/>
  <c r="H111" i="1"/>
  <c r="E118" i="3" l="1"/>
  <c r="H118" i="3" s="1"/>
  <c r="C119" i="3" s="1"/>
  <c r="C118" i="2"/>
  <c r="E118" i="2" s="1"/>
  <c r="F118" i="2"/>
  <c r="G113" i="1"/>
  <c r="J113" i="1"/>
  <c r="H112" i="1"/>
  <c r="E119" i="3" l="1"/>
  <c r="H119" i="3" s="1"/>
  <c r="C120" i="3" s="1"/>
  <c r="C119" i="2"/>
  <c r="E119" i="2" s="1"/>
  <c r="F119" i="2"/>
  <c r="G114" i="1"/>
  <c r="J114" i="1"/>
  <c r="H113" i="1"/>
  <c r="E120" i="3" l="1"/>
  <c r="H120" i="3" s="1"/>
  <c r="C121" i="3" s="1"/>
  <c r="C120" i="2"/>
  <c r="E120" i="2" s="1"/>
  <c r="F120" i="2"/>
  <c r="G115" i="1"/>
  <c r="J115" i="1"/>
  <c r="H114" i="1"/>
  <c r="E121" i="3" l="1"/>
  <c r="H121" i="3" s="1"/>
  <c r="C122" i="3" s="1"/>
  <c r="C121" i="2"/>
  <c r="E121" i="2" s="1"/>
  <c r="F121" i="2"/>
  <c r="G116" i="1"/>
  <c r="J116" i="1"/>
  <c r="H115" i="1"/>
  <c r="E122" i="3" l="1"/>
  <c r="H122" i="3"/>
  <c r="C123" i="3" s="1"/>
  <c r="C122" i="2"/>
  <c r="E122" i="2" s="1"/>
  <c r="F122" i="2"/>
  <c r="G117" i="1"/>
  <c r="J117" i="1"/>
  <c r="H116" i="1"/>
  <c r="E123" i="3" l="1"/>
  <c r="H123" i="3" s="1"/>
  <c r="C124" i="3" s="1"/>
  <c r="C123" i="2"/>
  <c r="E123" i="2" s="1"/>
  <c r="F123" i="2" s="1"/>
  <c r="G118" i="1"/>
  <c r="J118" i="1"/>
  <c r="H117" i="1"/>
  <c r="E124" i="3" l="1"/>
  <c r="H124" i="3"/>
  <c r="C125" i="3" s="1"/>
  <c r="C124" i="2"/>
  <c r="E124" i="2" s="1"/>
  <c r="F124" i="2" s="1"/>
  <c r="G119" i="1"/>
  <c r="J119" i="1"/>
  <c r="H118" i="1"/>
  <c r="E125" i="3" l="1"/>
  <c r="H125" i="3"/>
  <c r="C126" i="3" s="1"/>
  <c r="C125" i="2"/>
  <c r="E125" i="2" s="1"/>
  <c r="F125" i="2" s="1"/>
  <c r="G120" i="1"/>
  <c r="J120" i="1"/>
  <c r="H119" i="1"/>
  <c r="E126" i="3" l="1"/>
  <c r="H126" i="3" s="1"/>
  <c r="C127" i="3" s="1"/>
  <c r="C126" i="2"/>
  <c r="E126" i="2" s="1"/>
  <c r="F126" i="2" s="1"/>
  <c r="G121" i="1"/>
  <c r="J121" i="1"/>
  <c r="H120" i="1"/>
  <c r="E127" i="3" l="1"/>
  <c r="H127" i="3"/>
  <c r="C128" i="3" s="1"/>
  <c r="C127" i="2"/>
  <c r="E127" i="2" s="1"/>
  <c r="F127" i="2" s="1"/>
  <c r="G122" i="1"/>
  <c r="J122" i="1"/>
  <c r="H121" i="1"/>
  <c r="E128" i="3" l="1"/>
  <c r="H128" i="3" s="1"/>
  <c r="C129" i="3" s="1"/>
  <c r="C128" i="2"/>
  <c r="E128" i="2" s="1"/>
  <c r="F128" i="2" s="1"/>
  <c r="G123" i="1"/>
  <c r="J123" i="1"/>
  <c r="H122" i="1"/>
  <c r="E129" i="3" l="1"/>
  <c r="H129" i="3"/>
  <c r="C130" i="3" s="1"/>
  <c r="C129" i="2"/>
  <c r="E129" i="2" s="1"/>
  <c r="F129" i="2" s="1"/>
  <c r="G124" i="1"/>
  <c r="J124" i="1"/>
  <c r="H123" i="1"/>
  <c r="E130" i="3" l="1"/>
  <c r="H130" i="3" s="1"/>
  <c r="C131" i="3" s="1"/>
  <c r="C130" i="2"/>
  <c r="E130" i="2" s="1"/>
  <c r="F130" i="2" s="1"/>
  <c r="G125" i="1"/>
  <c r="J125" i="1"/>
  <c r="H124" i="1"/>
  <c r="E131" i="3" l="1"/>
  <c r="H131" i="3" s="1"/>
  <c r="C132" i="3" s="1"/>
  <c r="C131" i="2"/>
  <c r="E131" i="2" s="1"/>
  <c r="F131" i="2" s="1"/>
  <c r="G126" i="1"/>
  <c r="J126" i="1"/>
  <c r="H125" i="1"/>
  <c r="E132" i="3" l="1"/>
  <c r="H132" i="3"/>
  <c r="C133" i="3" s="1"/>
  <c r="C132" i="2"/>
  <c r="E132" i="2" s="1"/>
  <c r="F132" i="2" s="1"/>
  <c r="G127" i="1"/>
  <c r="J127" i="1"/>
  <c r="H126" i="1"/>
  <c r="E133" i="3" l="1"/>
  <c r="H133" i="3"/>
  <c r="C134" i="3" s="1"/>
  <c r="C133" i="2"/>
  <c r="E133" i="2" s="1"/>
  <c r="F133" i="2" s="1"/>
  <c r="G128" i="1"/>
  <c r="J128" i="1"/>
  <c r="H127" i="1"/>
  <c r="E134" i="3" l="1"/>
  <c r="H134" i="3" s="1"/>
  <c r="C135" i="3" s="1"/>
  <c r="C134" i="2"/>
  <c r="E134" i="2" s="1"/>
  <c r="F134" i="2"/>
  <c r="G129" i="1"/>
  <c r="J129" i="1"/>
  <c r="H128" i="1"/>
  <c r="E135" i="3" l="1"/>
  <c r="H135" i="3" s="1"/>
  <c r="C136" i="3" s="1"/>
  <c r="C135" i="2"/>
  <c r="E135" i="2" s="1"/>
  <c r="F135" i="2" s="1"/>
  <c r="G130" i="1"/>
  <c r="J130" i="1"/>
  <c r="H129" i="1"/>
  <c r="E136" i="3" l="1"/>
  <c r="H136" i="3" s="1"/>
  <c r="C137" i="3" s="1"/>
  <c r="C136" i="2"/>
  <c r="E136" i="2" s="1"/>
  <c r="F136" i="2"/>
  <c r="G131" i="1"/>
  <c r="J131" i="1"/>
  <c r="H130" i="1"/>
  <c r="E137" i="3" l="1"/>
  <c r="H137" i="3" s="1"/>
  <c r="C138" i="3" s="1"/>
  <c r="C137" i="2"/>
  <c r="E137" i="2" s="1"/>
  <c r="F137" i="2" s="1"/>
  <c r="G132" i="1"/>
  <c r="J132" i="1"/>
  <c r="H131" i="1"/>
  <c r="E138" i="3" l="1"/>
  <c r="H138" i="3"/>
  <c r="C139" i="3" s="1"/>
  <c r="C138" i="2"/>
  <c r="E138" i="2" s="1"/>
  <c r="F138" i="2"/>
  <c r="G133" i="1"/>
  <c r="J133" i="1"/>
  <c r="H132" i="1"/>
  <c r="E139" i="3" l="1"/>
  <c r="H139" i="3" s="1"/>
  <c r="C140" i="3" s="1"/>
  <c r="C139" i="2"/>
  <c r="E139" i="2" s="1"/>
  <c r="F139" i="2" s="1"/>
  <c r="G134" i="1"/>
  <c r="J134" i="1"/>
  <c r="H133" i="1"/>
  <c r="E140" i="3" l="1"/>
  <c r="H140" i="3" s="1"/>
  <c r="C141" i="3" s="1"/>
  <c r="C140" i="2"/>
  <c r="E140" i="2" s="1"/>
  <c r="F140" i="2" s="1"/>
  <c r="G135" i="1"/>
  <c r="J135" i="1"/>
  <c r="H134" i="1"/>
  <c r="E141" i="3" l="1"/>
  <c r="H141" i="3"/>
  <c r="C142" i="3" s="1"/>
  <c r="C141" i="2"/>
  <c r="E141" i="2" s="1"/>
  <c r="F141" i="2" s="1"/>
  <c r="G136" i="1"/>
  <c r="J136" i="1"/>
  <c r="H135" i="1"/>
  <c r="E142" i="3" l="1"/>
  <c r="H142" i="3"/>
  <c r="C143" i="3" s="1"/>
  <c r="C142" i="2"/>
  <c r="E142" i="2" s="1"/>
  <c r="F142" i="2" s="1"/>
  <c r="G137" i="1"/>
  <c r="J137" i="1"/>
  <c r="H136" i="1"/>
  <c r="E143" i="3" l="1"/>
  <c r="H143" i="3"/>
  <c r="C144" i="3" s="1"/>
  <c r="C143" i="2"/>
  <c r="E143" i="2" s="1"/>
  <c r="F143" i="2" s="1"/>
  <c r="G138" i="1"/>
  <c r="J138" i="1"/>
  <c r="H137" i="1"/>
  <c r="E144" i="3" l="1"/>
  <c r="H144" i="3" s="1"/>
  <c r="C145" i="3" s="1"/>
  <c r="C144" i="2"/>
  <c r="E144" i="2" s="1"/>
  <c r="F144" i="2" s="1"/>
  <c r="G139" i="1"/>
  <c r="J139" i="1"/>
  <c r="H138" i="1"/>
  <c r="E145" i="3" l="1"/>
  <c r="H145" i="3"/>
  <c r="C146" i="3" s="1"/>
  <c r="C145" i="2"/>
  <c r="E145" i="2" s="1"/>
  <c r="F145" i="2" s="1"/>
  <c r="G140" i="1"/>
  <c r="J140" i="1"/>
  <c r="H139" i="1"/>
  <c r="E146" i="3" l="1"/>
  <c r="H146" i="3"/>
  <c r="C147" i="3" s="1"/>
  <c r="C146" i="2"/>
  <c r="E146" i="2" s="1"/>
  <c r="F146" i="2" s="1"/>
  <c r="G141" i="1"/>
  <c r="J141" i="1"/>
  <c r="H140" i="1"/>
  <c r="E147" i="3" l="1"/>
  <c r="H147" i="3" s="1"/>
  <c r="C148" i="3" s="1"/>
  <c r="C147" i="2"/>
  <c r="E147" i="2" s="1"/>
  <c r="F147" i="2" s="1"/>
  <c r="G142" i="1"/>
  <c r="J142" i="1"/>
  <c r="H141" i="1"/>
  <c r="E148" i="3" l="1"/>
  <c r="H148" i="3" s="1"/>
  <c r="C149" i="3" s="1"/>
  <c r="C148" i="2"/>
  <c r="E148" i="2" s="1"/>
  <c r="F148" i="2" s="1"/>
  <c r="G143" i="1"/>
  <c r="J143" i="1"/>
  <c r="H142" i="1"/>
  <c r="E149" i="3" l="1"/>
  <c r="H149" i="3"/>
  <c r="C150" i="3" s="1"/>
  <c r="C149" i="2"/>
  <c r="E149" i="2" s="1"/>
  <c r="F149" i="2" s="1"/>
  <c r="G144" i="1"/>
  <c r="J144" i="1"/>
  <c r="H143" i="1"/>
  <c r="E150" i="3" l="1"/>
  <c r="H150" i="3" s="1"/>
  <c r="C151" i="3" s="1"/>
  <c r="C150" i="2"/>
  <c r="E150" i="2" s="1"/>
  <c r="F150" i="2" s="1"/>
  <c r="G145" i="1"/>
  <c r="J145" i="1"/>
  <c r="H144" i="1"/>
  <c r="E151" i="3" l="1"/>
  <c r="H151" i="3" s="1"/>
  <c r="C152" i="3" s="1"/>
  <c r="C151" i="2"/>
  <c r="E151" i="2" s="1"/>
  <c r="F151" i="2"/>
  <c r="G146" i="1"/>
  <c r="J146" i="1"/>
  <c r="H145" i="1"/>
  <c r="E152" i="3" l="1"/>
  <c r="H152" i="3" s="1"/>
  <c r="C153" i="3" s="1"/>
  <c r="C152" i="2"/>
  <c r="E152" i="2" s="1"/>
  <c r="F152" i="2"/>
  <c r="G147" i="1"/>
  <c r="J147" i="1"/>
  <c r="N8" i="1" s="1"/>
  <c r="H146" i="1"/>
  <c r="E153" i="3" l="1"/>
  <c r="H153" i="3" s="1"/>
  <c r="C154" i="3" s="1"/>
  <c r="C153" i="2"/>
  <c r="E153" i="2" s="1"/>
  <c r="F153" i="2"/>
  <c r="G148" i="1"/>
  <c r="J148" i="1"/>
  <c r="H147" i="1"/>
  <c r="E154" i="3" l="1"/>
  <c r="H154" i="3"/>
  <c r="C155" i="3" s="1"/>
  <c r="C154" i="2"/>
  <c r="E154" i="2" s="1"/>
  <c r="F154" i="2"/>
  <c r="G149" i="1"/>
  <c r="J149" i="1"/>
  <c r="H148" i="1"/>
  <c r="E155" i="3" l="1"/>
  <c r="H155" i="3"/>
  <c r="C156" i="3" s="1"/>
  <c r="C155" i="2"/>
  <c r="E155" i="2" s="1"/>
  <c r="F155" i="2" s="1"/>
  <c r="G150" i="1"/>
  <c r="J150" i="1"/>
  <c r="H149" i="1"/>
  <c r="E156" i="3" l="1"/>
  <c r="H156" i="3" s="1"/>
  <c r="C157" i="3" s="1"/>
  <c r="C156" i="2"/>
  <c r="E156" i="2" s="1"/>
  <c r="F156" i="2" s="1"/>
  <c r="G151" i="1"/>
  <c r="J151" i="1"/>
  <c r="H150" i="1"/>
  <c r="E157" i="3" l="1"/>
  <c r="H157" i="3"/>
  <c r="C158" i="3" s="1"/>
  <c r="C157" i="2"/>
  <c r="E157" i="2" s="1"/>
  <c r="F157" i="2" s="1"/>
  <c r="G152" i="1"/>
  <c r="J152" i="1"/>
  <c r="H151" i="1"/>
  <c r="E158" i="3" l="1"/>
  <c r="H158" i="3"/>
  <c r="C159" i="3" s="1"/>
  <c r="C158" i="2"/>
  <c r="E158" i="2" s="1"/>
  <c r="F158" i="2" s="1"/>
  <c r="G153" i="1"/>
  <c r="J153" i="1"/>
  <c r="H152" i="1"/>
  <c r="E159" i="3" l="1"/>
  <c r="H159" i="3" s="1"/>
  <c r="C160" i="3" s="1"/>
  <c r="C159" i="2"/>
  <c r="E159" i="2" s="1"/>
  <c r="F159" i="2" s="1"/>
  <c r="G154" i="1"/>
  <c r="J154" i="1"/>
  <c r="H153" i="1"/>
  <c r="E160" i="3" l="1"/>
  <c r="H160" i="3" s="1"/>
  <c r="C161" i="3" s="1"/>
  <c r="C160" i="2"/>
  <c r="E160" i="2" s="1"/>
  <c r="F160" i="2" s="1"/>
  <c r="G155" i="1"/>
  <c r="J155" i="1"/>
  <c r="H154" i="1"/>
  <c r="E161" i="3" l="1"/>
  <c r="H161" i="3" s="1"/>
  <c r="C162" i="3" s="1"/>
  <c r="C161" i="2"/>
  <c r="E161" i="2" s="1"/>
  <c r="F161" i="2" s="1"/>
  <c r="G156" i="1"/>
  <c r="J156" i="1"/>
  <c r="H155" i="1"/>
  <c r="E162" i="3" l="1"/>
  <c r="H162" i="3"/>
  <c r="C163" i="3" s="1"/>
  <c r="C162" i="2"/>
  <c r="E162" i="2" s="1"/>
  <c r="F162" i="2" s="1"/>
  <c r="G157" i="1"/>
  <c r="J157" i="1"/>
  <c r="H156" i="1"/>
  <c r="E163" i="3" l="1"/>
  <c r="H163" i="3" s="1"/>
  <c r="C164" i="3" s="1"/>
  <c r="C163" i="2"/>
  <c r="E163" i="2" s="1"/>
  <c r="F163" i="2" s="1"/>
  <c r="G158" i="1"/>
  <c r="J158" i="1"/>
  <c r="H157" i="1"/>
  <c r="E164" i="3" l="1"/>
  <c r="H164" i="3"/>
  <c r="C165" i="3" s="1"/>
  <c r="C164" i="2"/>
  <c r="E164" i="2" s="1"/>
  <c r="F164" i="2" s="1"/>
  <c r="G159" i="1"/>
  <c r="J159" i="1"/>
  <c r="H158" i="1"/>
  <c r="E165" i="3" l="1"/>
  <c r="H165" i="3" s="1"/>
  <c r="C166" i="3" s="1"/>
  <c r="C165" i="2"/>
  <c r="E165" i="2" s="1"/>
  <c r="F165" i="2" s="1"/>
  <c r="G160" i="1"/>
  <c r="J160" i="1"/>
  <c r="H159" i="1"/>
  <c r="E166" i="3" l="1"/>
  <c r="H166" i="3" s="1"/>
  <c r="C167" i="3" s="1"/>
  <c r="C166" i="2"/>
  <c r="E166" i="2" s="1"/>
  <c r="F166" i="2"/>
  <c r="G161" i="1"/>
  <c r="J161" i="1"/>
  <c r="H160" i="1"/>
  <c r="E167" i="3" l="1"/>
  <c r="H167" i="3" s="1"/>
  <c r="C168" i="3" s="1"/>
  <c r="C167" i="2"/>
  <c r="E167" i="2" s="1"/>
  <c r="F167" i="2"/>
  <c r="G162" i="1"/>
  <c r="J162" i="1"/>
  <c r="H161" i="1"/>
  <c r="E168" i="3" l="1"/>
  <c r="H168" i="3" s="1"/>
  <c r="C169" i="3" s="1"/>
  <c r="C168" i="2"/>
  <c r="E168" i="2" s="1"/>
  <c r="F168" i="2"/>
  <c r="G163" i="1"/>
  <c r="J163" i="1"/>
  <c r="H162" i="1"/>
  <c r="E169" i="3" l="1"/>
  <c r="H169" i="3" s="1"/>
  <c r="C170" i="3" s="1"/>
  <c r="C169" i="2"/>
  <c r="E169" i="2" s="1"/>
  <c r="F169" i="2"/>
  <c r="G164" i="1"/>
  <c r="J164" i="1"/>
  <c r="H163" i="1"/>
  <c r="E170" i="3" l="1"/>
  <c r="H170" i="3" s="1"/>
  <c r="C171" i="3" s="1"/>
  <c r="C170" i="2"/>
  <c r="E170" i="2" s="1"/>
  <c r="F170" i="2"/>
  <c r="G165" i="1"/>
  <c r="J165" i="1"/>
  <c r="H164" i="1"/>
  <c r="E171" i="3" l="1"/>
  <c r="H171" i="3" s="1"/>
  <c r="C172" i="3" s="1"/>
  <c r="C171" i="2"/>
  <c r="E171" i="2" s="1"/>
  <c r="F171" i="2" s="1"/>
  <c r="G166" i="1"/>
  <c r="J166" i="1"/>
  <c r="H165" i="1"/>
  <c r="E172" i="3" l="1"/>
  <c r="H172" i="3"/>
  <c r="C173" i="3" s="1"/>
  <c r="C172" i="2"/>
  <c r="E172" i="2" s="1"/>
  <c r="F172" i="2" s="1"/>
  <c r="G167" i="1"/>
  <c r="J167" i="1"/>
  <c r="H166" i="1"/>
  <c r="E173" i="3" l="1"/>
  <c r="H173" i="3" s="1"/>
  <c r="C174" i="3" s="1"/>
  <c r="C173" i="2"/>
  <c r="E173" i="2" s="1"/>
  <c r="F173" i="2" s="1"/>
  <c r="G168" i="1"/>
  <c r="J168" i="1"/>
  <c r="H167" i="1"/>
  <c r="E174" i="3" l="1"/>
  <c r="H174" i="3"/>
  <c r="C175" i="3" s="1"/>
  <c r="C174" i="2"/>
  <c r="E174" i="2" s="1"/>
  <c r="F174" i="2" s="1"/>
  <c r="G169" i="1"/>
  <c r="J169" i="1"/>
  <c r="H168" i="1"/>
  <c r="E175" i="3" l="1"/>
  <c r="H175" i="3"/>
  <c r="C176" i="3" s="1"/>
  <c r="C175" i="2"/>
  <c r="E175" i="2" s="1"/>
  <c r="F175" i="2" s="1"/>
  <c r="G170" i="1"/>
  <c r="J170" i="1"/>
  <c r="H169" i="1"/>
  <c r="E176" i="3" l="1"/>
  <c r="H176" i="3" s="1"/>
  <c r="C177" i="3" s="1"/>
  <c r="C176" i="2"/>
  <c r="E176" i="2" s="1"/>
  <c r="F176" i="2" s="1"/>
  <c r="G171" i="1"/>
  <c r="J171" i="1"/>
  <c r="H170" i="1"/>
  <c r="E177" i="3" l="1"/>
  <c r="H177" i="3"/>
  <c r="C178" i="3" s="1"/>
  <c r="C177" i="2"/>
  <c r="E177" i="2" s="1"/>
  <c r="F177" i="2" s="1"/>
  <c r="G172" i="1"/>
  <c r="J172" i="1"/>
  <c r="H171" i="1"/>
  <c r="E178" i="3" l="1"/>
  <c r="H178" i="3" s="1"/>
  <c r="C179" i="3" s="1"/>
  <c r="C178" i="2"/>
  <c r="E178" i="2" s="1"/>
  <c r="F178" i="2" s="1"/>
  <c r="G173" i="1"/>
  <c r="J173" i="1"/>
  <c r="H172" i="1"/>
  <c r="E179" i="3" l="1"/>
  <c r="H179" i="3" s="1"/>
  <c r="C180" i="3" s="1"/>
  <c r="C179" i="2"/>
  <c r="E179" i="2" s="1"/>
  <c r="F179" i="2" s="1"/>
  <c r="G174" i="1"/>
  <c r="J174" i="1"/>
  <c r="H173" i="1"/>
  <c r="E180" i="3" l="1"/>
  <c r="H180" i="3"/>
  <c r="C181" i="3" s="1"/>
  <c r="C180" i="2"/>
  <c r="E180" i="2" s="1"/>
  <c r="F180" i="2" s="1"/>
  <c r="G175" i="1"/>
  <c r="J175" i="1"/>
  <c r="H174" i="1"/>
  <c r="E181" i="3" l="1"/>
  <c r="H181" i="3"/>
  <c r="C182" i="3" s="1"/>
  <c r="C181" i="2"/>
  <c r="E181" i="2" s="1"/>
  <c r="F181" i="2" s="1"/>
  <c r="G176" i="1"/>
  <c r="J176" i="1"/>
  <c r="H175" i="1"/>
  <c r="E182" i="3" l="1"/>
  <c r="H182" i="3" s="1"/>
  <c r="C183" i="3" s="1"/>
  <c r="C182" i="2"/>
  <c r="E182" i="2" s="1"/>
  <c r="F182" i="2"/>
  <c r="G177" i="1"/>
  <c r="J177" i="1"/>
  <c r="H176" i="1"/>
  <c r="E183" i="3" l="1"/>
  <c r="H183" i="3"/>
  <c r="C184" i="3" s="1"/>
  <c r="C183" i="2"/>
  <c r="E183" i="2" s="1"/>
  <c r="F183" i="2"/>
  <c r="G178" i="1"/>
  <c r="H178" i="1" s="1"/>
  <c r="J178" i="1"/>
  <c r="H177" i="1"/>
  <c r="E184" i="3" l="1"/>
  <c r="H184" i="3"/>
  <c r="C185" i="3" s="1"/>
  <c r="C184" i="2"/>
  <c r="E184" i="2" s="1"/>
  <c r="F184" i="2"/>
  <c r="G179" i="1"/>
  <c r="J179" i="1"/>
  <c r="E185" i="3" l="1"/>
  <c r="H185" i="3" s="1"/>
  <c r="C186" i="3" s="1"/>
  <c r="C185" i="2"/>
  <c r="E185" i="2" s="1"/>
  <c r="F185" i="2"/>
  <c r="G180" i="1"/>
  <c r="J180" i="1"/>
  <c r="H179" i="1"/>
  <c r="E186" i="3" l="1"/>
  <c r="H186" i="3" s="1"/>
  <c r="C187" i="3" s="1"/>
  <c r="C186" i="2"/>
  <c r="E186" i="2" s="1"/>
  <c r="F186" i="2"/>
  <c r="G181" i="1"/>
  <c r="J181" i="1"/>
  <c r="H180" i="1"/>
  <c r="E187" i="3" l="1"/>
  <c r="H187" i="3" s="1"/>
  <c r="C188" i="3" s="1"/>
  <c r="C187" i="2"/>
  <c r="E187" i="2" s="1"/>
  <c r="F187" i="2" s="1"/>
  <c r="G182" i="1"/>
  <c r="J182" i="1"/>
  <c r="H181" i="1"/>
  <c r="E188" i="3" l="1"/>
  <c r="H188" i="3"/>
  <c r="C189" i="3" s="1"/>
  <c r="C188" i="2"/>
  <c r="E188" i="2" s="1"/>
  <c r="F188" i="2" s="1"/>
  <c r="G183" i="1"/>
  <c r="J183" i="1"/>
  <c r="H182" i="1"/>
  <c r="E189" i="3" l="1"/>
  <c r="H189" i="3"/>
  <c r="C190" i="3" s="1"/>
  <c r="C189" i="2"/>
  <c r="E189" i="2" s="1"/>
  <c r="F189" i="2" s="1"/>
  <c r="G184" i="1"/>
  <c r="J184" i="1"/>
  <c r="H183" i="1"/>
  <c r="E190" i="3" l="1"/>
  <c r="H190" i="3" s="1"/>
  <c r="C191" i="3" s="1"/>
  <c r="C190" i="2"/>
  <c r="E190" i="2" s="1"/>
  <c r="F190" i="2" s="1"/>
  <c r="G185" i="1"/>
  <c r="J185" i="1"/>
  <c r="H184" i="1"/>
  <c r="E191" i="3" l="1"/>
  <c r="H191" i="3" s="1"/>
  <c r="C192" i="3" s="1"/>
  <c r="C191" i="2"/>
  <c r="E191" i="2" s="1"/>
  <c r="F191" i="2" s="1"/>
  <c r="G186" i="1"/>
  <c r="J186" i="1"/>
  <c r="H185" i="1"/>
  <c r="E192" i="3" l="1"/>
  <c r="H192" i="3" s="1"/>
  <c r="C193" i="3" s="1"/>
  <c r="C192" i="2"/>
  <c r="E192" i="2" s="1"/>
  <c r="F192" i="2" s="1"/>
  <c r="G187" i="1"/>
  <c r="J187" i="1"/>
  <c r="H186" i="1"/>
  <c r="E193" i="3" l="1"/>
  <c r="H193" i="3"/>
  <c r="C194" i="3" s="1"/>
  <c r="C193" i="2"/>
  <c r="E193" i="2" s="1"/>
  <c r="F193" i="2" s="1"/>
  <c r="G188" i="1"/>
  <c r="J188" i="1"/>
  <c r="H187" i="1"/>
  <c r="E194" i="3" l="1"/>
  <c r="H194" i="3" s="1"/>
  <c r="C195" i="3" s="1"/>
  <c r="C194" i="2"/>
  <c r="E194" i="2" s="1"/>
  <c r="F194" i="2" s="1"/>
  <c r="G189" i="1"/>
  <c r="J189" i="1"/>
  <c r="H188" i="1"/>
  <c r="E195" i="3" l="1"/>
  <c r="H195" i="3"/>
  <c r="C196" i="3" s="1"/>
  <c r="C195" i="2"/>
  <c r="E195" i="2" s="1"/>
  <c r="F195" i="2" s="1"/>
  <c r="G190" i="1"/>
  <c r="J190" i="1"/>
  <c r="H189" i="1"/>
  <c r="E196" i="3" l="1"/>
  <c r="H196" i="3" s="1"/>
  <c r="C197" i="3" s="1"/>
  <c r="C196" i="2"/>
  <c r="E196" i="2" s="1"/>
  <c r="F196" i="2" s="1"/>
  <c r="G191" i="1"/>
  <c r="J191" i="1"/>
  <c r="H190" i="1"/>
  <c r="E197" i="3" l="1"/>
  <c r="H197" i="3" s="1"/>
  <c r="C198" i="3" s="1"/>
  <c r="C197" i="2"/>
  <c r="E197" i="2" s="1"/>
  <c r="F197" i="2" s="1"/>
  <c r="G192" i="1"/>
  <c r="J192" i="1"/>
  <c r="H191" i="1"/>
  <c r="E198" i="3" l="1"/>
  <c r="H198" i="3" s="1"/>
  <c r="C199" i="3" s="1"/>
  <c r="C198" i="2"/>
  <c r="E198" i="2" s="1"/>
  <c r="F198" i="2" s="1"/>
  <c r="G193" i="1"/>
  <c r="J193" i="1"/>
  <c r="H192" i="1"/>
  <c r="E199" i="3" l="1"/>
  <c r="H199" i="3"/>
  <c r="C200" i="3" s="1"/>
  <c r="C199" i="2"/>
  <c r="E199" i="2" s="1"/>
  <c r="F199" i="2"/>
  <c r="G194" i="1"/>
  <c r="H194" i="1" s="1"/>
  <c r="J194" i="1"/>
  <c r="H193" i="1"/>
  <c r="E200" i="3" l="1"/>
  <c r="H200" i="3" s="1"/>
  <c r="C201" i="3" s="1"/>
  <c r="C200" i="2"/>
  <c r="E200" i="2" s="1"/>
  <c r="F200" i="2"/>
  <c r="G195" i="1"/>
  <c r="J195" i="1"/>
  <c r="E201" i="3" l="1"/>
  <c r="H201" i="3" s="1"/>
  <c r="C202" i="3" s="1"/>
  <c r="C201" i="2"/>
  <c r="E201" i="2" s="1"/>
  <c r="F201" i="2"/>
  <c r="G196" i="1"/>
  <c r="J196" i="1"/>
  <c r="H195" i="1"/>
  <c r="E202" i="3" l="1"/>
  <c r="H202" i="3"/>
  <c r="C203" i="3" s="1"/>
  <c r="C202" i="2"/>
  <c r="E202" i="2" s="1"/>
  <c r="F202" i="2" s="1"/>
  <c r="G197" i="1"/>
  <c r="J197" i="1"/>
  <c r="H196" i="1"/>
  <c r="E203" i="3" l="1"/>
  <c r="H203" i="3"/>
  <c r="C204" i="3" s="1"/>
  <c r="C203" i="2"/>
  <c r="E203" i="2" s="1"/>
  <c r="F203" i="2" s="1"/>
  <c r="G198" i="1"/>
  <c r="J198" i="1"/>
  <c r="H197" i="1"/>
  <c r="E204" i="3" l="1"/>
  <c r="H204" i="3"/>
  <c r="C205" i="3" s="1"/>
  <c r="C204" i="2"/>
  <c r="E204" i="2" s="1"/>
  <c r="F204" i="2" s="1"/>
  <c r="G199" i="1"/>
  <c r="J199" i="1"/>
  <c r="H198" i="1"/>
  <c r="E205" i="3" l="1"/>
  <c r="H205" i="3" s="1"/>
  <c r="C206" i="3" s="1"/>
  <c r="C205" i="2"/>
  <c r="E205" i="2" s="1"/>
  <c r="F205" i="2" s="1"/>
  <c r="G200" i="1"/>
  <c r="J200" i="1"/>
  <c r="H199" i="1"/>
  <c r="E206" i="3" l="1"/>
  <c r="H206" i="3" s="1"/>
  <c r="C207" i="3" s="1"/>
  <c r="C206" i="2"/>
  <c r="E206" i="2" s="1"/>
  <c r="F206" i="2" s="1"/>
  <c r="G201" i="1"/>
  <c r="J201" i="1"/>
  <c r="H200" i="1"/>
  <c r="E207" i="3" l="1"/>
  <c r="H207" i="3"/>
  <c r="C208" i="3" s="1"/>
  <c r="C207" i="2"/>
  <c r="E207" i="2" s="1"/>
  <c r="F207" i="2" s="1"/>
  <c r="G202" i="1"/>
  <c r="J202" i="1"/>
  <c r="H201" i="1"/>
  <c r="E208" i="3" l="1"/>
  <c r="H208" i="3" s="1"/>
  <c r="C209" i="3" s="1"/>
  <c r="C208" i="2"/>
  <c r="E208" i="2" s="1"/>
  <c r="F208" i="2" s="1"/>
  <c r="G203" i="1"/>
  <c r="J203" i="1"/>
  <c r="H202" i="1"/>
  <c r="E209" i="3" l="1"/>
  <c r="H209" i="3"/>
  <c r="C210" i="3" s="1"/>
  <c r="C209" i="2"/>
  <c r="E209" i="2" s="1"/>
  <c r="F209" i="2" s="1"/>
  <c r="G204" i="1"/>
  <c r="J204" i="1"/>
  <c r="H203" i="1"/>
  <c r="E210" i="3" l="1"/>
  <c r="H210" i="3" s="1"/>
  <c r="C211" i="3" s="1"/>
  <c r="C210" i="2"/>
  <c r="E210" i="2" s="1"/>
  <c r="F210" i="2" s="1"/>
  <c r="G205" i="1"/>
  <c r="J205" i="1"/>
  <c r="H204" i="1"/>
  <c r="E211" i="3" l="1"/>
  <c r="H211" i="3" s="1"/>
  <c r="C212" i="3" s="1"/>
  <c r="C211" i="2"/>
  <c r="E211" i="2" s="1"/>
  <c r="F211" i="2" s="1"/>
  <c r="G206" i="1"/>
  <c r="J206" i="1"/>
  <c r="H205" i="1"/>
  <c r="E212" i="3" l="1"/>
  <c r="H212" i="3" s="1"/>
  <c r="C213" i="3" s="1"/>
  <c r="C212" i="2"/>
  <c r="E212" i="2" s="1"/>
  <c r="F212" i="2"/>
  <c r="G207" i="1"/>
  <c r="J207" i="1"/>
  <c r="H206" i="1"/>
  <c r="E213" i="3" l="1"/>
  <c r="H213" i="3" s="1"/>
  <c r="C214" i="3" s="1"/>
  <c r="C213" i="2"/>
  <c r="E213" i="2" s="1"/>
  <c r="F213" i="2" s="1"/>
  <c r="G208" i="1"/>
  <c r="J208" i="1"/>
  <c r="H207" i="1"/>
  <c r="E214" i="3" l="1"/>
  <c r="H214" i="3" s="1"/>
  <c r="C215" i="3" s="1"/>
  <c r="C214" i="2"/>
  <c r="E214" i="2" s="1"/>
  <c r="F214" i="2"/>
  <c r="G209" i="1"/>
  <c r="J209" i="1"/>
  <c r="H208" i="1"/>
  <c r="E215" i="3" l="1"/>
  <c r="H215" i="3"/>
  <c r="C216" i="3" s="1"/>
  <c r="C215" i="2"/>
  <c r="E215" i="2" s="1"/>
  <c r="F215" i="2"/>
  <c r="G210" i="1"/>
  <c r="J210" i="1"/>
  <c r="H209" i="1"/>
  <c r="E216" i="3" l="1"/>
  <c r="H216" i="3"/>
  <c r="C217" i="3" s="1"/>
  <c r="C216" i="2"/>
  <c r="E216" i="2" s="1"/>
  <c r="F216" i="2"/>
  <c r="G211" i="1"/>
  <c r="J211" i="1"/>
  <c r="H210" i="1"/>
  <c r="E217" i="3" l="1"/>
  <c r="H217" i="3" s="1"/>
  <c r="C218" i="3" s="1"/>
  <c r="C217" i="2"/>
  <c r="E217" i="2" s="1"/>
  <c r="F217" i="2"/>
  <c r="G212" i="1"/>
  <c r="J212" i="1"/>
  <c r="H211" i="1"/>
  <c r="E218" i="3" l="1"/>
  <c r="H218" i="3"/>
  <c r="C219" i="3" s="1"/>
  <c r="C218" i="2"/>
  <c r="E218" i="2" s="1"/>
  <c r="F218" i="2"/>
  <c r="G213" i="1"/>
  <c r="J213" i="1"/>
  <c r="H212" i="1"/>
  <c r="E219" i="3" l="1"/>
  <c r="H219" i="3"/>
  <c r="C220" i="3" s="1"/>
  <c r="C219" i="2"/>
  <c r="E219" i="2" s="1"/>
  <c r="F219" i="2" s="1"/>
  <c r="G214" i="1"/>
  <c r="J214" i="1"/>
  <c r="H213" i="1"/>
  <c r="E220" i="3" l="1"/>
  <c r="H220" i="3"/>
  <c r="C221" i="3" s="1"/>
  <c r="C220" i="2"/>
  <c r="E220" i="2" s="1"/>
  <c r="F220" i="2" s="1"/>
  <c r="G215" i="1"/>
  <c r="J215" i="1"/>
  <c r="H214" i="1"/>
  <c r="E221" i="3" l="1"/>
  <c r="H221" i="3"/>
  <c r="C222" i="3" s="1"/>
  <c r="C221" i="2"/>
  <c r="E221" i="2" s="1"/>
  <c r="F221" i="2" s="1"/>
  <c r="G216" i="1"/>
  <c r="J216" i="1"/>
  <c r="H215" i="1"/>
  <c r="E222" i="3" l="1"/>
  <c r="H222" i="3" s="1"/>
  <c r="C223" i="3" s="1"/>
  <c r="C222" i="2"/>
  <c r="E222" i="2" s="1"/>
  <c r="F222" i="2" s="1"/>
  <c r="G217" i="1"/>
  <c r="J217" i="1"/>
  <c r="H216" i="1"/>
  <c r="E223" i="3" l="1"/>
  <c r="H223" i="3"/>
  <c r="C224" i="3" s="1"/>
  <c r="C223" i="2"/>
  <c r="E223" i="2" s="1"/>
  <c r="F223" i="2" s="1"/>
  <c r="G218" i="1"/>
  <c r="J218" i="1"/>
  <c r="H217" i="1"/>
  <c r="E224" i="3" l="1"/>
  <c r="H224" i="3" s="1"/>
  <c r="C225" i="3" s="1"/>
  <c r="C224" i="2"/>
  <c r="E224" i="2" s="1"/>
  <c r="F224" i="2" s="1"/>
  <c r="G219" i="1"/>
  <c r="J219" i="1"/>
  <c r="H218" i="1"/>
  <c r="E225" i="3" l="1"/>
  <c r="H225" i="3" s="1"/>
  <c r="C226" i="3" s="1"/>
  <c r="C225" i="2"/>
  <c r="E225" i="2" s="1"/>
  <c r="F225" i="2" s="1"/>
  <c r="G220" i="1"/>
  <c r="J220" i="1"/>
  <c r="H219" i="1"/>
  <c r="E226" i="3" l="1"/>
  <c r="H226" i="3" s="1"/>
  <c r="C227" i="3" s="1"/>
  <c r="C226" i="2"/>
  <c r="E226" i="2" s="1"/>
  <c r="F226" i="2" s="1"/>
  <c r="G221" i="1"/>
  <c r="J221" i="1"/>
  <c r="H220" i="1"/>
  <c r="E227" i="3" l="1"/>
  <c r="H227" i="3" s="1"/>
  <c r="C228" i="3" s="1"/>
  <c r="C227" i="2"/>
  <c r="E227" i="2" s="1"/>
  <c r="F227" i="2" s="1"/>
  <c r="G222" i="1"/>
  <c r="J222" i="1"/>
  <c r="H221" i="1"/>
  <c r="E228" i="3" l="1"/>
  <c r="H228" i="3" s="1"/>
  <c r="C229" i="3" s="1"/>
  <c r="C228" i="2"/>
  <c r="E228" i="2" s="1"/>
  <c r="F228" i="2" s="1"/>
  <c r="G223" i="1"/>
  <c r="J223" i="1"/>
  <c r="H222" i="1"/>
  <c r="E229" i="3" l="1"/>
  <c r="H229" i="3" s="1"/>
  <c r="C230" i="3" s="1"/>
  <c r="C229" i="2"/>
  <c r="E229" i="2" s="1"/>
  <c r="F229" i="2" s="1"/>
  <c r="G224" i="1"/>
  <c r="J224" i="1"/>
  <c r="H223" i="1"/>
  <c r="E230" i="3" l="1"/>
  <c r="H230" i="3"/>
  <c r="C231" i="3" s="1"/>
  <c r="C230" i="2"/>
  <c r="E230" i="2" s="1"/>
  <c r="F230" i="2"/>
  <c r="G225" i="1"/>
  <c r="J225" i="1"/>
  <c r="H224" i="1"/>
  <c r="E231" i="3" l="1"/>
  <c r="H231" i="3"/>
  <c r="C232" i="3" s="1"/>
  <c r="C231" i="2"/>
  <c r="E231" i="2" s="1"/>
  <c r="F231" i="2"/>
  <c r="G226" i="1"/>
  <c r="J226" i="1"/>
  <c r="H225" i="1"/>
  <c r="E232" i="3" l="1"/>
  <c r="H232" i="3" s="1"/>
  <c r="C233" i="3" s="1"/>
  <c r="C232" i="2"/>
  <c r="E232" i="2" s="1"/>
  <c r="F232" i="2"/>
  <c r="G227" i="1"/>
  <c r="J227" i="1"/>
  <c r="H226" i="1"/>
  <c r="E233" i="3" l="1"/>
  <c r="H233" i="3" s="1"/>
  <c r="C234" i="3" s="1"/>
  <c r="C233" i="2"/>
  <c r="E233" i="2" s="1"/>
  <c r="F233" i="2"/>
  <c r="G228" i="1"/>
  <c r="J228" i="1"/>
  <c r="H227" i="1"/>
  <c r="E234" i="3" l="1"/>
  <c r="H234" i="3"/>
  <c r="C235" i="3" s="1"/>
  <c r="C234" i="2"/>
  <c r="E234" i="2" s="1"/>
  <c r="F234" i="2"/>
  <c r="G229" i="1"/>
  <c r="J229" i="1"/>
  <c r="H228" i="1"/>
  <c r="E235" i="3" l="1"/>
  <c r="H235" i="3" s="1"/>
  <c r="C236" i="3" s="1"/>
  <c r="C235" i="2"/>
  <c r="E235" i="2" s="1"/>
  <c r="F235" i="2" s="1"/>
  <c r="G230" i="1"/>
  <c r="J230" i="1"/>
  <c r="H229" i="1"/>
  <c r="E236" i="3" l="1"/>
  <c r="H236" i="3"/>
  <c r="C237" i="3" s="1"/>
  <c r="C236" i="2"/>
  <c r="G231" i="1"/>
  <c r="J231" i="1"/>
  <c r="H230" i="1"/>
  <c r="E237" i="3" l="1"/>
  <c r="H237" i="3"/>
  <c r="C238" i="3" s="1"/>
  <c r="E236" i="2"/>
  <c r="J232" i="1"/>
  <c r="G232" i="1"/>
  <c r="H232" i="1" s="1"/>
  <c r="H231" i="1"/>
  <c r="E238" i="3" l="1"/>
  <c r="H238" i="3"/>
  <c r="C239" i="3" s="1"/>
  <c r="F236" i="2"/>
  <c r="G233" i="1"/>
  <c r="J233" i="1"/>
  <c r="E239" i="3" l="1"/>
  <c r="H239" i="3"/>
  <c r="C240" i="3" s="1"/>
  <c r="C237" i="2"/>
  <c r="E237" i="2" s="1"/>
  <c r="G234" i="1"/>
  <c r="J234" i="1"/>
  <c r="H233" i="1"/>
  <c r="E240" i="3" l="1"/>
  <c r="H240" i="3"/>
  <c r="C241" i="3" s="1"/>
  <c r="F237" i="2"/>
  <c r="G235" i="1"/>
  <c r="J235" i="1"/>
  <c r="H234" i="1"/>
  <c r="E241" i="3" l="1"/>
  <c r="H241" i="3" s="1"/>
  <c r="C242" i="3" s="1"/>
  <c r="C238" i="2"/>
  <c r="E238" i="2" s="1"/>
  <c r="F238" i="2" s="1"/>
  <c r="C239" i="2" s="1"/>
  <c r="E239" i="2" s="1"/>
  <c r="F239" i="2" s="1"/>
  <c r="C240" i="2" s="1"/>
  <c r="E240" i="2" s="1"/>
  <c r="F240" i="2" s="1"/>
  <c r="C241" i="2" s="1"/>
  <c r="E241" i="2" s="1"/>
  <c r="F241" i="2" s="1"/>
  <c r="G236" i="1"/>
  <c r="N6" i="1" s="1"/>
  <c r="J236" i="1"/>
  <c r="Q6" i="1" s="1"/>
  <c r="H235" i="1"/>
  <c r="E242" i="3" l="1"/>
  <c r="H242" i="3"/>
  <c r="C243" i="3" s="1"/>
  <c r="C242" i="2"/>
  <c r="E242" i="2" s="1"/>
  <c r="F242" i="2" s="1"/>
  <c r="G237" i="1"/>
  <c r="N4" i="1" s="1"/>
  <c r="J237" i="1"/>
  <c r="Q4" i="1" s="1"/>
  <c r="H236" i="1"/>
  <c r="O6" i="1" s="1"/>
  <c r="E243" i="3" l="1"/>
  <c r="H243" i="3"/>
  <c r="C244" i="3" s="1"/>
  <c r="C243" i="2"/>
  <c r="E243" i="2" s="1"/>
  <c r="F243" i="2" s="1"/>
  <c r="G238" i="1"/>
  <c r="J238" i="1"/>
  <c r="H237" i="1"/>
  <c r="O4" i="1" s="1"/>
  <c r="E244" i="3" l="1"/>
  <c r="H244" i="3"/>
  <c r="C245" i="3" s="1"/>
  <c r="C244" i="2"/>
  <c r="E244" i="2" s="1"/>
  <c r="F244" i="2" s="1"/>
  <c r="G239" i="1"/>
  <c r="J239" i="1"/>
  <c r="H238" i="1"/>
  <c r="E245" i="3" l="1"/>
  <c r="H245" i="3" s="1"/>
  <c r="C246" i="3" s="1"/>
  <c r="C245" i="2"/>
  <c r="E245" i="2" s="1"/>
  <c r="F245" i="2" s="1"/>
  <c r="G240" i="1"/>
  <c r="J240" i="1"/>
  <c r="H239" i="1"/>
  <c r="E246" i="3" l="1"/>
  <c r="H246" i="3"/>
  <c r="C247" i="3" s="1"/>
  <c r="C246" i="2"/>
  <c r="E246" i="2" s="1"/>
  <c r="F246" i="2"/>
  <c r="G241" i="1"/>
  <c r="J241" i="1"/>
  <c r="H240" i="1"/>
  <c r="E247" i="3" l="1"/>
  <c r="H247" i="3"/>
  <c r="C248" i="3" s="1"/>
  <c r="C247" i="2"/>
  <c r="E247" i="2" s="1"/>
  <c r="F247" i="2"/>
  <c r="G242" i="1"/>
  <c r="J242" i="1"/>
  <c r="H241" i="1"/>
  <c r="E248" i="3" l="1"/>
  <c r="H248" i="3"/>
  <c r="C249" i="3" s="1"/>
  <c r="C248" i="2"/>
  <c r="E248" i="2" s="1"/>
  <c r="F248" i="2"/>
  <c r="G243" i="1"/>
  <c r="J243" i="1"/>
  <c r="H242" i="1"/>
  <c r="E249" i="3" l="1"/>
  <c r="H249" i="3"/>
  <c r="C250" i="3" s="1"/>
  <c r="C249" i="2"/>
  <c r="E249" i="2" s="1"/>
  <c r="F249" i="2"/>
  <c r="G244" i="1"/>
  <c r="J244" i="1"/>
  <c r="H243" i="1"/>
  <c r="E250" i="3" l="1"/>
  <c r="H250" i="3" s="1"/>
  <c r="C251" i="3" s="1"/>
  <c r="C250" i="2"/>
  <c r="E250" i="2" s="1"/>
  <c r="F250" i="2"/>
  <c r="G245" i="1"/>
  <c r="J245" i="1"/>
  <c r="H244" i="1"/>
  <c r="E251" i="3" l="1"/>
  <c r="H251" i="3"/>
  <c r="C252" i="3" s="1"/>
  <c r="C251" i="2"/>
  <c r="E251" i="2" s="1"/>
  <c r="F251" i="2" s="1"/>
  <c r="G246" i="1"/>
  <c r="J246" i="1"/>
  <c r="H245" i="1"/>
  <c r="E252" i="3" l="1"/>
  <c r="H252" i="3"/>
  <c r="C253" i="3" s="1"/>
  <c r="C252" i="2"/>
  <c r="E252" i="2" s="1"/>
  <c r="F252" i="2" s="1"/>
  <c r="G247" i="1"/>
  <c r="J247" i="1"/>
  <c r="H246" i="1"/>
  <c r="E253" i="3" l="1"/>
  <c r="H253" i="3" s="1"/>
  <c r="C254" i="3" s="1"/>
  <c r="C253" i="2"/>
  <c r="E253" i="2" s="1"/>
  <c r="F253" i="2" s="1"/>
  <c r="G248" i="1"/>
  <c r="J248" i="1"/>
  <c r="H247" i="1"/>
  <c r="E254" i="3" l="1"/>
  <c r="H254" i="3"/>
  <c r="C255" i="3" s="1"/>
  <c r="C254" i="2"/>
  <c r="E254" i="2" s="1"/>
  <c r="F254" i="2" s="1"/>
  <c r="G249" i="1"/>
  <c r="J249" i="1"/>
  <c r="H248" i="1"/>
  <c r="E255" i="3" l="1"/>
  <c r="H255" i="3"/>
  <c r="C256" i="3" s="1"/>
  <c r="C255" i="2"/>
  <c r="E255" i="2" s="1"/>
  <c r="F255" i="2" s="1"/>
  <c r="G250" i="1"/>
  <c r="J250" i="1"/>
  <c r="H249" i="1"/>
  <c r="E256" i="3" l="1"/>
  <c r="H256" i="3"/>
  <c r="C257" i="3" s="1"/>
  <c r="C256" i="2"/>
  <c r="E256" i="2" s="1"/>
  <c r="F256" i="2" s="1"/>
  <c r="G251" i="1"/>
  <c r="J251" i="1"/>
  <c r="H250" i="1"/>
  <c r="E257" i="3" l="1"/>
  <c r="H257" i="3"/>
  <c r="C258" i="3" s="1"/>
  <c r="C257" i="2"/>
  <c r="E257" i="2" s="1"/>
  <c r="F257" i="2" s="1"/>
  <c r="G252" i="1"/>
  <c r="J252" i="1"/>
  <c r="H251" i="1"/>
  <c r="E258" i="3" l="1"/>
  <c r="H258" i="3" s="1"/>
  <c r="C259" i="3" s="1"/>
  <c r="C258" i="2"/>
  <c r="E258" i="2" s="1"/>
  <c r="F258" i="2" s="1"/>
  <c r="G253" i="1"/>
  <c r="J253" i="1"/>
  <c r="H252" i="1"/>
  <c r="E259" i="3" l="1"/>
  <c r="H259" i="3"/>
  <c r="C260" i="3" s="1"/>
  <c r="C259" i="2"/>
  <c r="E259" i="2" s="1"/>
  <c r="F259" i="2" s="1"/>
  <c r="G254" i="1"/>
  <c r="J254" i="1"/>
  <c r="H253" i="1"/>
  <c r="E260" i="3" l="1"/>
  <c r="H260" i="3" s="1"/>
  <c r="C261" i="3" s="1"/>
  <c r="C260" i="2"/>
  <c r="E260" i="2" s="1"/>
  <c r="F260" i="2" s="1"/>
  <c r="G255" i="1"/>
  <c r="J255" i="1"/>
  <c r="H254" i="1"/>
  <c r="E261" i="3" l="1"/>
  <c r="H261" i="3"/>
  <c r="C262" i="3" s="1"/>
  <c r="C261" i="2"/>
  <c r="E261" i="2" s="1"/>
  <c r="F261" i="2" s="1"/>
  <c r="G256" i="1"/>
  <c r="J256" i="1"/>
  <c r="H255" i="1"/>
  <c r="E262" i="3" l="1"/>
  <c r="H262" i="3"/>
  <c r="C263" i="3" s="1"/>
  <c r="C262" i="2"/>
  <c r="E262" i="2" s="1"/>
  <c r="F262" i="2"/>
  <c r="G257" i="1"/>
  <c r="J257" i="1"/>
  <c r="H256" i="1"/>
  <c r="E263" i="3" l="1"/>
  <c r="H263" i="3" s="1"/>
  <c r="C264" i="3" s="1"/>
  <c r="C263" i="2"/>
  <c r="E263" i="2" s="1"/>
  <c r="F263" i="2"/>
  <c r="J258" i="1"/>
  <c r="G258" i="1"/>
  <c r="H258" i="1" s="1"/>
  <c r="H257" i="1"/>
  <c r="E264" i="3" l="1"/>
  <c r="H264" i="3"/>
  <c r="C265" i="3" s="1"/>
  <c r="C264" i="2"/>
  <c r="E264" i="2" s="1"/>
  <c r="F264" i="2"/>
  <c r="G259" i="1"/>
  <c r="J259" i="1"/>
  <c r="E265" i="3" l="1"/>
  <c r="H265" i="3" s="1"/>
  <c r="C266" i="3" s="1"/>
  <c r="C265" i="2"/>
  <c r="E265" i="2" s="1"/>
  <c r="F265" i="2"/>
  <c r="G260" i="1"/>
  <c r="J260" i="1"/>
  <c r="H259" i="1"/>
  <c r="E266" i="3" l="1"/>
  <c r="H266" i="3"/>
  <c r="C267" i="3" s="1"/>
  <c r="C266" i="2"/>
  <c r="E266" i="2" s="1"/>
  <c r="F266" i="2"/>
  <c r="G261" i="1"/>
  <c r="J261" i="1"/>
  <c r="H260" i="1"/>
  <c r="E267" i="3" l="1"/>
  <c r="H267" i="3" s="1"/>
  <c r="C268" i="3" s="1"/>
  <c r="C267" i="2"/>
  <c r="E267" i="2" s="1"/>
  <c r="F267" i="2" s="1"/>
  <c r="G262" i="1"/>
  <c r="J262" i="1"/>
  <c r="H261" i="1"/>
  <c r="E268" i="3" l="1"/>
  <c r="H268" i="3"/>
  <c r="C269" i="3" s="1"/>
  <c r="C268" i="2"/>
  <c r="E268" i="2" s="1"/>
  <c r="F268" i="2" s="1"/>
  <c r="G263" i="1"/>
  <c r="J263" i="1"/>
  <c r="H262" i="1"/>
  <c r="E269" i="3" l="1"/>
  <c r="H269" i="3"/>
  <c r="C270" i="3" s="1"/>
  <c r="C269" i="2"/>
  <c r="E269" i="2" s="1"/>
  <c r="F269" i="2" s="1"/>
  <c r="G264" i="1"/>
  <c r="J264" i="1"/>
  <c r="H263" i="1"/>
  <c r="E270" i="3" l="1"/>
  <c r="H270" i="3" s="1"/>
  <c r="C271" i="3" s="1"/>
  <c r="C270" i="2"/>
  <c r="E270" i="2" s="1"/>
  <c r="F270" i="2" s="1"/>
  <c r="G265" i="1"/>
  <c r="J265" i="1"/>
  <c r="H264" i="1"/>
  <c r="E271" i="3" l="1"/>
  <c r="H271" i="3" s="1"/>
  <c r="C272" i="3" s="1"/>
  <c r="C271" i="2"/>
  <c r="E271" i="2" s="1"/>
  <c r="F271" i="2" s="1"/>
  <c r="G266" i="1"/>
  <c r="J266" i="1"/>
  <c r="H265" i="1"/>
  <c r="E272" i="3" l="1"/>
  <c r="H272" i="3" s="1"/>
  <c r="C273" i="3" s="1"/>
  <c r="C272" i="2"/>
  <c r="E272" i="2" s="1"/>
  <c r="F272" i="2" s="1"/>
  <c r="G267" i="1"/>
  <c r="J267" i="1"/>
  <c r="H266" i="1"/>
  <c r="E273" i="3" l="1"/>
  <c r="H273" i="3" s="1"/>
  <c r="C274" i="3" s="1"/>
  <c r="C273" i="2"/>
  <c r="E273" i="2" s="1"/>
  <c r="F273" i="2" s="1"/>
  <c r="G268" i="1"/>
  <c r="J268" i="1"/>
  <c r="H267" i="1"/>
  <c r="E274" i="3" l="1"/>
  <c r="H274" i="3"/>
  <c r="C275" i="3" s="1"/>
  <c r="C274" i="2"/>
  <c r="E274" i="2" s="1"/>
  <c r="F274" i="2" s="1"/>
  <c r="G269" i="1"/>
  <c r="J269" i="1"/>
  <c r="H268" i="1"/>
  <c r="E275" i="3" l="1"/>
  <c r="H275" i="3" s="1"/>
  <c r="C276" i="3" s="1"/>
  <c r="C275" i="2"/>
  <c r="E275" i="2" s="1"/>
  <c r="F275" i="2" s="1"/>
  <c r="G270" i="1"/>
  <c r="J270" i="1"/>
  <c r="H269" i="1"/>
  <c r="E276" i="3" l="1"/>
  <c r="H276" i="3"/>
  <c r="C277" i="3" s="1"/>
  <c r="C276" i="2"/>
  <c r="E276" i="2" s="1"/>
  <c r="F276" i="2" s="1"/>
  <c r="G271" i="1"/>
  <c r="J271" i="1"/>
  <c r="H270" i="1"/>
  <c r="E277" i="3" l="1"/>
  <c r="H277" i="3" s="1"/>
  <c r="C278" i="3" s="1"/>
  <c r="C277" i="2"/>
  <c r="E277" i="2" s="1"/>
  <c r="F277" i="2" s="1"/>
  <c r="J272" i="1"/>
  <c r="G272" i="1"/>
  <c r="H272" i="1" s="1"/>
  <c r="H271" i="1"/>
  <c r="E278" i="3" l="1"/>
  <c r="H278" i="3"/>
  <c r="C279" i="3" s="1"/>
  <c r="C278" i="2"/>
  <c r="E278" i="2" s="1"/>
  <c r="F278" i="2"/>
  <c r="G273" i="1"/>
  <c r="J273" i="1"/>
  <c r="E279" i="3" l="1"/>
  <c r="H279" i="3"/>
  <c r="C280" i="3" s="1"/>
  <c r="C279" i="2"/>
  <c r="E279" i="2" s="1"/>
  <c r="F279" i="2"/>
  <c r="G274" i="1"/>
  <c r="J274" i="1"/>
  <c r="H273" i="1"/>
  <c r="E280" i="3" l="1"/>
  <c r="H280" i="3"/>
  <c r="C281" i="3" s="1"/>
  <c r="C280" i="2"/>
  <c r="E280" i="2" s="1"/>
  <c r="F280" i="2"/>
  <c r="G275" i="1"/>
  <c r="J275" i="1"/>
  <c r="H274" i="1"/>
  <c r="E281" i="3" l="1"/>
  <c r="H281" i="3" s="1"/>
  <c r="C282" i="3" s="1"/>
  <c r="C281" i="2"/>
  <c r="E281" i="2" s="1"/>
  <c r="F281" i="2"/>
  <c r="G276" i="1"/>
  <c r="J276" i="1"/>
  <c r="H275" i="1"/>
  <c r="E282" i="3" l="1"/>
  <c r="H282" i="3"/>
  <c r="C283" i="3" s="1"/>
  <c r="C282" i="2"/>
  <c r="E282" i="2" s="1"/>
  <c r="F282" i="2"/>
  <c r="G277" i="1"/>
  <c r="J277" i="1"/>
  <c r="H276" i="1"/>
  <c r="E283" i="3" l="1"/>
  <c r="H283" i="3" s="1"/>
  <c r="C284" i="3" s="1"/>
  <c r="C283" i="2"/>
  <c r="E283" i="2" s="1"/>
  <c r="F283" i="2" s="1"/>
  <c r="G278" i="1"/>
  <c r="J278" i="1"/>
  <c r="H277" i="1"/>
  <c r="E284" i="3" l="1"/>
  <c r="H284" i="3" s="1"/>
  <c r="C285" i="3" s="1"/>
  <c r="C284" i="2"/>
  <c r="E284" i="2" s="1"/>
  <c r="F284" i="2" s="1"/>
  <c r="G279" i="1"/>
  <c r="J279" i="1"/>
  <c r="H278" i="1"/>
  <c r="E285" i="3" l="1"/>
  <c r="H285" i="3"/>
  <c r="C286" i="3" s="1"/>
  <c r="C285" i="2"/>
  <c r="E285" i="2" s="1"/>
  <c r="F285" i="2" s="1"/>
  <c r="G280" i="1"/>
  <c r="J280" i="1"/>
  <c r="H279" i="1"/>
  <c r="E286" i="3" l="1"/>
  <c r="H286" i="3" s="1"/>
  <c r="C287" i="3" s="1"/>
  <c r="C286" i="2"/>
  <c r="E286" i="2" s="1"/>
  <c r="F286" i="2" s="1"/>
  <c r="G281" i="1"/>
  <c r="J281" i="1"/>
  <c r="H280" i="1"/>
  <c r="E287" i="3" l="1"/>
  <c r="H287" i="3" s="1"/>
  <c r="C288" i="3" s="1"/>
  <c r="C287" i="2"/>
  <c r="E287" i="2" s="1"/>
  <c r="F287" i="2" s="1"/>
  <c r="G282" i="1"/>
  <c r="J282" i="1"/>
  <c r="H281" i="1"/>
  <c r="E288" i="3" l="1"/>
  <c r="H288" i="3"/>
  <c r="C289" i="3" s="1"/>
  <c r="C288" i="2"/>
  <c r="E288" i="2" s="1"/>
  <c r="F288" i="2" s="1"/>
  <c r="G283" i="1"/>
  <c r="J283" i="1"/>
  <c r="H282" i="1"/>
  <c r="E289" i="3" l="1"/>
  <c r="H289" i="3" s="1"/>
  <c r="C290" i="3" s="1"/>
  <c r="C289" i="2"/>
  <c r="E289" i="2" s="1"/>
  <c r="F289" i="2" s="1"/>
  <c r="G284" i="1"/>
  <c r="J284" i="1"/>
  <c r="H283" i="1"/>
  <c r="E290" i="3" l="1"/>
  <c r="H290" i="3" s="1"/>
  <c r="C291" i="3" s="1"/>
  <c r="C290" i="2"/>
  <c r="E290" i="2" s="1"/>
  <c r="F290" i="2"/>
  <c r="G285" i="1"/>
  <c r="J285" i="1"/>
  <c r="H284" i="1"/>
  <c r="E291" i="3" l="1"/>
  <c r="H291" i="3" s="1"/>
  <c r="C292" i="3" s="1"/>
  <c r="C291" i="2"/>
  <c r="E291" i="2" s="1"/>
  <c r="F291" i="2" s="1"/>
  <c r="G286" i="1"/>
  <c r="J286" i="1"/>
  <c r="H285" i="1"/>
  <c r="E292" i="3" l="1"/>
  <c r="H292" i="3" s="1"/>
  <c r="C293" i="3" s="1"/>
  <c r="C292" i="2"/>
  <c r="E292" i="2" s="1"/>
  <c r="F292" i="2"/>
  <c r="G287" i="1"/>
  <c r="J287" i="1"/>
  <c r="H286" i="1"/>
  <c r="E293" i="3" l="1"/>
  <c r="H293" i="3"/>
  <c r="C294" i="3" s="1"/>
  <c r="C293" i="2"/>
  <c r="E293" i="2" s="1"/>
  <c r="F293" i="2" s="1"/>
  <c r="G288" i="1"/>
  <c r="J288" i="1"/>
  <c r="H287" i="1"/>
  <c r="E294" i="3" l="1"/>
  <c r="H294" i="3" s="1"/>
  <c r="C295" i="3" s="1"/>
  <c r="C294" i="2"/>
  <c r="E294" i="2" s="1"/>
  <c r="F294" i="2"/>
  <c r="G289" i="1"/>
  <c r="J289" i="1"/>
  <c r="H288" i="1"/>
  <c r="E295" i="3" l="1"/>
  <c r="H295" i="3" s="1"/>
  <c r="C296" i="3" s="1"/>
  <c r="C295" i="2"/>
  <c r="E295" i="2" s="1"/>
  <c r="F295" i="2" s="1"/>
  <c r="G290" i="1"/>
  <c r="J290" i="1"/>
  <c r="H289" i="1"/>
  <c r="E296" i="3" l="1"/>
  <c r="H296" i="3" s="1"/>
  <c r="C297" i="3" s="1"/>
  <c r="C296" i="2"/>
  <c r="E296" i="2" s="1"/>
  <c r="F296" i="2"/>
  <c r="G291" i="1"/>
  <c r="J291" i="1"/>
  <c r="H290" i="1"/>
  <c r="E297" i="3" l="1"/>
  <c r="H297" i="3" s="1"/>
  <c r="C298" i="3" s="1"/>
  <c r="C297" i="2"/>
  <c r="E297" i="2" s="1"/>
  <c r="F297" i="2"/>
  <c r="G292" i="1"/>
  <c r="J292" i="1"/>
  <c r="H291" i="1"/>
  <c r="E298" i="3" l="1"/>
  <c r="H298" i="3"/>
  <c r="C299" i="3" s="1"/>
  <c r="C298" i="2"/>
  <c r="E298" i="2" s="1"/>
  <c r="F298" i="2"/>
  <c r="G293" i="1"/>
  <c r="J293" i="1"/>
  <c r="H292" i="1"/>
  <c r="E299" i="3" l="1"/>
  <c r="H299" i="3" s="1"/>
  <c r="C300" i="3" s="1"/>
  <c r="C299" i="2"/>
  <c r="E299" i="2" s="1"/>
  <c r="F299" i="2" s="1"/>
  <c r="G294" i="1"/>
  <c r="J294" i="1"/>
  <c r="H293" i="1"/>
  <c r="E300" i="3" l="1"/>
  <c r="H300" i="3"/>
  <c r="C301" i="3" s="1"/>
  <c r="C300" i="2"/>
  <c r="E300" i="2" s="1"/>
  <c r="F300" i="2" s="1"/>
  <c r="J295" i="1"/>
  <c r="G295" i="1"/>
  <c r="H295" i="1" s="1"/>
  <c r="H294" i="1"/>
  <c r="E301" i="3" l="1"/>
  <c r="H301" i="3" s="1"/>
  <c r="C302" i="3" s="1"/>
  <c r="C301" i="2"/>
  <c r="E301" i="2" s="1"/>
  <c r="F301" i="2" s="1"/>
  <c r="G296" i="1"/>
  <c r="H296" i="1" s="1"/>
  <c r="J296" i="1"/>
  <c r="E302" i="3" l="1"/>
  <c r="H302" i="3" s="1"/>
  <c r="C303" i="3" s="1"/>
  <c r="C302" i="2"/>
  <c r="E302" i="2" s="1"/>
  <c r="F302" i="2" s="1"/>
  <c r="G297" i="1"/>
  <c r="J297" i="1"/>
  <c r="E303" i="3" l="1"/>
  <c r="H303" i="3" s="1"/>
  <c r="C304" i="3" s="1"/>
  <c r="C303" i="2"/>
  <c r="E303" i="2" s="1"/>
  <c r="F303" i="2" s="1"/>
  <c r="G298" i="1"/>
  <c r="J298" i="1"/>
  <c r="H297" i="1"/>
  <c r="E304" i="3" l="1"/>
  <c r="H304" i="3"/>
  <c r="C305" i="3" s="1"/>
  <c r="C304" i="2"/>
  <c r="E304" i="2" s="1"/>
  <c r="F304" i="2" s="1"/>
  <c r="G299" i="1"/>
  <c r="J299" i="1"/>
  <c r="H298" i="1"/>
  <c r="E305" i="3" l="1"/>
  <c r="H305" i="3"/>
  <c r="C306" i="3" s="1"/>
  <c r="C305" i="2"/>
  <c r="E305" i="2" s="1"/>
  <c r="F305" i="2" s="1"/>
  <c r="J300" i="1"/>
  <c r="G300" i="1"/>
  <c r="H300" i="1" s="1"/>
  <c r="H299" i="1"/>
  <c r="E306" i="3" l="1"/>
  <c r="H306" i="3"/>
  <c r="C307" i="3" s="1"/>
  <c r="C306" i="2"/>
  <c r="E306" i="2" s="1"/>
  <c r="F306" i="2" s="1"/>
  <c r="G301" i="1"/>
  <c r="J301" i="1"/>
  <c r="E307" i="3" l="1"/>
  <c r="H307" i="3" s="1"/>
  <c r="C308" i="3" s="1"/>
  <c r="C307" i="2"/>
  <c r="E307" i="2" s="1"/>
  <c r="F307" i="2" s="1"/>
  <c r="G302" i="1"/>
  <c r="J302" i="1"/>
  <c r="H301" i="1"/>
  <c r="E308" i="3" l="1"/>
  <c r="H308" i="3"/>
  <c r="C309" i="3" s="1"/>
  <c r="C308" i="2"/>
  <c r="E308" i="2" s="1"/>
  <c r="F308" i="2"/>
  <c r="G303" i="1"/>
  <c r="J303" i="1"/>
  <c r="H302" i="1"/>
  <c r="E309" i="3" l="1"/>
  <c r="H309" i="3"/>
  <c r="C310" i="3" s="1"/>
  <c r="G304" i="1"/>
  <c r="J304" i="1"/>
  <c r="H303" i="1"/>
  <c r="E310" i="3" l="1"/>
  <c r="H310" i="3" s="1"/>
  <c r="C311" i="3" s="1"/>
  <c r="G305" i="1"/>
  <c r="J305" i="1"/>
  <c r="H304" i="1"/>
  <c r="E311" i="3" l="1"/>
  <c r="H311" i="3" s="1"/>
  <c r="C312" i="3" s="1"/>
  <c r="G306" i="1"/>
  <c r="J306" i="1"/>
  <c r="H305" i="1"/>
  <c r="E312" i="3" l="1"/>
  <c r="H312" i="3" s="1"/>
  <c r="C313" i="3" s="1"/>
  <c r="G307" i="1"/>
  <c r="J307" i="1"/>
  <c r="H306" i="1"/>
  <c r="E313" i="3" l="1"/>
  <c r="H313" i="3" s="1"/>
  <c r="C314" i="3" s="1"/>
  <c r="H307" i="1"/>
  <c r="E314" i="3" l="1"/>
  <c r="H314" i="3" s="1"/>
  <c r="C315" i="3" s="1"/>
  <c r="E315" i="3" l="1"/>
  <c r="H315" i="3" s="1"/>
  <c r="C316" i="3" s="1"/>
  <c r="E316" i="3" l="1"/>
  <c r="H316" i="3"/>
  <c r="C317" i="3" s="1"/>
  <c r="E317" i="3" l="1"/>
  <c r="H317" i="3" s="1"/>
  <c r="C318" i="3" s="1"/>
  <c r="E318" i="3" l="1"/>
  <c r="H318" i="3"/>
  <c r="C319" i="3" s="1"/>
  <c r="E319" i="3" l="1"/>
  <c r="H319" i="3" s="1"/>
  <c r="C320" i="3" s="1"/>
  <c r="E320" i="3" l="1"/>
  <c r="H320" i="3" s="1"/>
  <c r="C321" i="3" s="1"/>
  <c r="E321" i="3" l="1"/>
  <c r="H321" i="3"/>
  <c r="C322" i="3" s="1"/>
  <c r="E322" i="3" l="1"/>
  <c r="H322" i="3"/>
  <c r="C323" i="3" s="1"/>
  <c r="E323" i="3" l="1"/>
  <c r="H323" i="3"/>
  <c r="C324" i="3" s="1"/>
  <c r="E324" i="3" l="1"/>
  <c r="H324" i="3"/>
  <c r="C325" i="3" s="1"/>
  <c r="E325" i="3" l="1"/>
  <c r="H325" i="3"/>
  <c r="C326" i="3" s="1"/>
  <c r="E326" i="3" l="1"/>
  <c r="H326" i="3" s="1"/>
  <c r="C327" i="3" s="1"/>
  <c r="E327" i="3" l="1"/>
  <c r="H327" i="3" s="1"/>
  <c r="C328" i="3" s="1"/>
  <c r="E328" i="3" l="1"/>
  <c r="H328" i="3"/>
  <c r="C329" i="3" s="1"/>
  <c r="E329" i="3" l="1"/>
  <c r="H329" i="3" s="1"/>
  <c r="C330" i="3" s="1"/>
  <c r="E330" i="3" l="1"/>
  <c r="H330" i="3" s="1"/>
  <c r="C331" i="3" s="1"/>
  <c r="E331" i="3" l="1"/>
  <c r="H331" i="3"/>
  <c r="C332" i="3" s="1"/>
  <c r="E332" i="3" l="1"/>
  <c r="H332" i="3"/>
  <c r="C333" i="3" s="1"/>
  <c r="E333" i="3" l="1"/>
  <c r="H333" i="3" s="1"/>
  <c r="C334" i="3" s="1"/>
  <c r="E334" i="3" l="1"/>
  <c r="H334" i="3"/>
  <c r="C335" i="3" s="1"/>
  <c r="E335" i="3" l="1"/>
  <c r="H335" i="3"/>
  <c r="C336" i="3" s="1"/>
  <c r="E336" i="3" l="1"/>
  <c r="H336" i="3" s="1"/>
  <c r="C337" i="3" s="1"/>
  <c r="E337" i="3" l="1"/>
  <c r="H337" i="3" s="1"/>
  <c r="C338" i="3" s="1"/>
  <c r="E338" i="3" l="1"/>
  <c r="H338" i="3"/>
  <c r="C339" i="3" s="1"/>
  <c r="E339" i="3" l="1"/>
  <c r="H339" i="3" s="1"/>
  <c r="C340" i="3" s="1"/>
  <c r="E340" i="3" l="1"/>
  <c r="H340" i="3" s="1"/>
  <c r="C341" i="3" s="1"/>
  <c r="E341" i="3" l="1"/>
  <c r="H341" i="3" s="1"/>
  <c r="C342" i="3" s="1"/>
  <c r="E342" i="3" l="1"/>
  <c r="H342" i="3" s="1"/>
  <c r="C343" i="3" s="1"/>
  <c r="E343" i="3" l="1"/>
  <c r="H343" i="3" s="1"/>
  <c r="C344" i="3" s="1"/>
  <c r="E344" i="3" l="1"/>
  <c r="H344" i="3" s="1"/>
  <c r="C345" i="3" s="1"/>
  <c r="E345" i="3" l="1"/>
  <c r="H345" i="3" s="1"/>
  <c r="C346" i="3" s="1"/>
  <c r="E346" i="3" l="1"/>
  <c r="H346" i="3"/>
  <c r="C347" i="3" s="1"/>
  <c r="E347" i="3" l="1"/>
  <c r="H347" i="3" s="1"/>
  <c r="C348" i="3" s="1"/>
  <c r="E348" i="3" l="1"/>
  <c r="H348" i="3" s="1"/>
  <c r="C349" i="3" s="1"/>
  <c r="E349" i="3" l="1"/>
  <c r="H349" i="3"/>
  <c r="C350" i="3" s="1"/>
  <c r="E350" i="3" l="1"/>
  <c r="H350" i="3" s="1"/>
  <c r="C351" i="3" s="1"/>
  <c r="E351" i="3" l="1"/>
  <c r="H351" i="3"/>
  <c r="C352" i="3" s="1"/>
  <c r="E352" i="3" l="1"/>
  <c r="H352" i="3" s="1"/>
  <c r="C353" i="3" s="1"/>
  <c r="E353" i="3" l="1"/>
  <c r="H353" i="3" s="1"/>
  <c r="C354" i="3" s="1"/>
  <c r="E354" i="3" l="1"/>
  <c r="H354" i="3" s="1"/>
  <c r="C355" i="3" s="1"/>
  <c r="E355" i="3" l="1"/>
  <c r="H355" i="3" s="1"/>
  <c r="C356" i="3" s="1"/>
  <c r="E356" i="3" l="1"/>
  <c r="H356" i="3"/>
  <c r="C357" i="3" s="1"/>
  <c r="E357" i="3" l="1"/>
  <c r="H357" i="3"/>
  <c r="C358" i="3" s="1"/>
  <c r="E358" i="3" l="1"/>
  <c r="H358" i="3"/>
  <c r="C359" i="3" s="1"/>
  <c r="E359" i="3" l="1"/>
  <c r="H359" i="3" s="1"/>
  <c r="C360" i="3" s="1"/>
  <c r="E360" i="3" l="1"/>
  <c r="H360" i="3" s="1"/>
  <c r="C361" i="3" s="1"/>
  <c r="E361" i="3" l="1"/>
  <c r="H361" i="3" s="1"/>
  <c r="C362" i="3" s="1"/>
  <c r="E362" i="3" l="1"/>
  <c r="H362" i="3"/>
  <c r="C363" i="3" s="1"/>
  <c r="E363" i="3" l="1"/>
  <c r="H363" i="3"/>
  <c r="C364" i="3" s="1"/>
  <c r="E364" i="3" l="1"/>
  <c r="H364" i="3" s="1"/>
  <c r="C365" i="3" s="1"/>
  <c r="E365" i="3" l="1"/>
  <c r="H365" i="3" s="1"/>
  <c r="C366" i="3" s="1"/>
  <c r="E366" i="3" l="1"/>
  <c r="H366" i="3"/>
  <c r="C367" i="3" s="1"/>
  <c r="E367" i="3" l="1"/>
  <c r="H367" i="3"/>
  <c r="C368" i="3" s="1"/>
  <c r="E368" i="3" l="1"/>
  <c r="H368" i="3" s="1"/>
  <c r="C369" i="3" s="1"/>
  <c r="E369" i="3" l="1"/>
  <c r="H369" i="3" s="1"/>
  <c r="C370" i="3" s="1"/>
  <c r="E370" i="3" l="1"/>
  <c r="H370" i="3"/>
  <c r="C371" i="3" s="1"/>
  <c r="E371" i="3" l="1"/>
  <c r="H371" i="3" s="1"/>
  <c r="C372" i="3" s="1"/>
  <c r="E372" i="3" l="1"/>
  <c r="H372" i="3"/>
  <c r="C373" i="3" s="1"/>
  <c r="E373" i="3" l="1"/>
  <c r="H373" i="3" s="1"/>
  <c r="C374" i="3" s="1"/>
  <c r="E374" i="3" l="1"/>
  <c r="H374" i="3" s="1"/>
  <c r="C375" i="3" s="1"/>
  <c r="E375" i="3" l="1"/>
  <c r="H375" i="3" s="1"/>
  <c r="C376" i="3" s="1"/>
  <c r="E376" i="3" l="1"/>
  <c r="H376" i="3"/>
  <c r="C377" i="3" s="1"/>
  <c r="E377" i="3" l="1"/>
  <c r="H377" i="3"/>
  <c r="C378" i="3" s="1"/>
  <c r="E378" i="3" l="1"/>
  <c r="H378" i="3" s="1"/>
  <c r="C379" i="3" s="1"/>
  <c r="E379" i="3" l="1"/>
  <c r="H379" i="3" s="1"/>
  <c r="C380" i="3" s="1"/>
  <c r="E380" i="3" l="1"/>
  <c r="H380" i="3"/>
  <c r="C381" i="3" s="1"/>
  <c r="E381" i="3" l="1"/>
  <c r="H381" i="3"/>
  <c r="C382" i="3" s="1"/>
  <c r="E382" i="3" l="1"/>
  <c r="H382" i="3"/>
  <c r="C383" i="3" s="1"/>
  <c r="E383" i="3" l="1"/>
  <c r="H383" i="3"/>
  <c r="C384" i="3" s="1"/>
  <c r="E384" i="3" l="1"/>
  <c r="H384" i="3" s="1"/>
  <c r="C385" i="3" s="1"/>
  <c r="E385" i="3" l="1"/>
  <c r="H385" i="3" s="1"/>
  <c r="C386" i="3" s="1"/>
  <c r="E386" i="3" l="1"/>
  <c r="H386" i="3" s="1"/>
  <c r="C387" i="3" s="1"/>
  <c r="E387" i="3" l="1"/>
  <c r="H387" i="3" s="1"/>
  <c r="C388" i="3" s="1"/>
  <c r="E388" i="3" l="1"/>
  <c r="H388" i="3" s="1"/>
  <c r="C389" i="3" s="1"/>
  <c r="E389" i="3" l="1"/>
  <c r="H389" i="3" s="1"/>
  <c r="C390" i="3" s="1"/>
  <c r="E390" i="3" l="1"/>
  <c r="H390" i="3"/>
  <c r="C391" i="3" s="1"/>
  <c r="E391" i="3" l="1"/>
  <c r="H391" i="3"/>
  <c r="C392" i="3" s="1"/>
  <c r="E392" i="3" l="1"/>
  <c r="H392" i="3"/>
  <c r="C393" i="3" s="1"/>
  <c r="E393" i="3" l="1"/>
  <c r="H393" i="3"/>
  <c r="C394" i="3" s="1"/>
  <c r="E394" i="3" l="1"/>
  <c r="H394" i="3"/>
  <c r="C395" i="3" s="1"/>
  <c r="E395" i="3" l="1"/>
  <c r="H395" i="3"/>
  <c r="C396" i="3" s="1"/>
  <c r="E396" i="3" l="1"/>
  <c r="H396" i="3"/>
  <c r="C397" i="3" s="1"/>
  <c r="E397" i="3" l="1"/>
  <c r="H397" i="3"/>
  <c r="C398" i="3" s="1"/>
  <c r="E398" i="3" l="1"/>
  <c r="H398" i="3" s="1"/>
  <c r="C399" i="3" s="1"/>
  <c r="E399" i="3" l="1"/>
  <c r="H399" i="3"/>
  <c r="C400" i="3" s="1"/>
  <c r="E400" i="3" l="1"/>
  <c r="H400" i="3" s="1"/>
  <c r="C401" i="3" s="1"/>
  <c r="E401" i="3" l="1"/>
  <c r="H401" i="3"/>
  <c r="C402" i="3" s="1"/>
  <c r="E402" i="3" l="1"/>
  <c r="H402" i="3" s="1"/>
  <c r="C403" i="3" s="1"/>
  <c r="E403" i="3" l="1"/>
  <c r="H403" i="3" s="1"/>
  <c r="C404" i="3" s="1"/>
  <c r="E404" i="3" l="1"/>
  <c r="H404" i="3" s="1"/>
  <c r="C405" i="3" s="1"/>
  <c r="E405" i="3" l="1"/>
  <c r="H405" i="3"/>
  <c r="C406" i="3" s="1"/>
  <c r="E406" i="3" l="1"/>
  <c r="H406" i="3" s="1"/>
  <c r="C407" i="3" s="1"/>
  <c r="E407" i="3" l="1"/>
  <c r="H407" i="3" s="1"/>
  <c r="C408" i="3" s="1"/>
  <c r="E408" i="3" l="1"/>
  <c r="H408" i="3"/>
  <c r="C409" i="3" s="1"/>
  <c r="E409" i="3" l="1"/>
  <c r="H409" i="3"/>
  <c r="C410" i="3" s="1"/>
  <c r="E410" i="3" l="1"/>
  <c r="H410" i="3"/>
  <c r="C411" i="3" s="1"/>
  <c r="E411" i="3" l="1"/>
  <c r="H411" i="3"/>
  <c r="C412" i="3" s="1"/>
  <c r="E412" i="3" l="1"/>
  <c r="H412" i="3"/>
  <c r="C413" i="3" s="1"/>
  <c r="E413" i="3" l="1"/>
  <c r="H413" i="3" s="1"/>
  <c r="C414" i="3" s="1"/>
  <c r="E414" i="3" l="1"/>
  <c r="H414" i="3" s="1"/>
  <c r="C415" i="3" s="1"/>
  <c r="E415" i="3" l="1"/>
  <c r="H415" i="3" s="1"/>
  <c r="C416" i="3" s="1"/>
  <c r="E416" i="3" l="1"/>
  <c r="H416" i="3"/>
  <c r="C417" i="3" s="1"/>
  <c r="E417" i="3" l="1"/>
  <c r="H417" i="3" s="1"/>
  <c r="C418" i="3" s="1"/>
  <c r="E418" i="3" l="1"/>
  <c r="H418" i="3" s="1"/>
  <c r="C419" i="3" s="1"/>
  <c r="E419" i="3" l="1"/>
  <c r="H419" i="3" s="1"/>
  <c r="C420" i="3" s="1"/>
  <c r="E420" i="3" l="1"/>
  <c r="H420" i="3"/>
  <c r="C421" i="3" s="1"/>
  <c r="E421" i="3" l="1"/>
  <c r="H421" i="3"/>
  <c r="C422" i="3" s="1"/>
  <c r="E422" i="3" l="1"/>
  <c r="H422" i="3" s="1"/>
  <c r="C423" i="3" s="1"/>
  <c r="E423" i="3" l="1"/>
  <c r="H423" i="3"/>
  <c r="C424" i="3" s="1"/>
  <c r="E424" i="3" l="1"/>
  <c r="H424" i="3"/>
  <c r="C425" i="3" s="1"/>
  <c r="E425" i="3" l="1"/>
  <c r="H425" i="3" s="1"/>
  <c r="C426" i="3" s="1"/>
  <c r="E426" i="3" l="1"/>
  <c r="H426" i="3" s="1"/>
  <c r="C427" i="3" s="1"/>
  <c r="E427" i="3" l="1"/>
  <c r="H427" i="3"/>
  <c r="C428" i="3" s="1"/>
  <c r="E428" i="3" l="1"/>
  <c r="H428" i="3"/>
  <c r="C429" i="3" s="1"/>
  <c r="E429" i="3" l="1"/>
  <c r="H429" i="3"/>
  <c r="C430" i="3" s="1"/>
  <c r="E430" i="3" l="1"/>
  <c r="H430" i="3" s="1"/>
  <c r="C431" i="3" s="1"/>
  <c r="E431" i="3" l="1"/>
  <c r="H431" i="3" s="1"/>
  <c r="C432" i="3" s="1"/>
  <c r="E432" i="3" l="1"/>
  <c r="H432" i="3" s="1"/>
  <c r="C433" i="3" s="1"/>
  <c r="E433" i="3" l="1"/>
  <c r="H433" i="3"/>
  <c r="C434" i="3" s="1"/>
  <c r="E434" i="3" l="1"/>
  <c r="H434" i="3"/>
  <c r="C435" i="3" s="1"/>
  <c r="E435" i="3" l="1"/>
  <c r="H435" i="3" s="1"/>
  <c r="C436" i="3" s="1"/>
  <c r="E436" i="3" l="1"/>
  <c r="H436" i="3" s="1"/>
  <c r="C437" i="3" s="1"/>
  <c r="E437" i="3" l="1"/>
  <c r="H437" i="3"/>
  <c r="C438" i="3" s="1"/>
  <c r="E438" i="3" l="1"/>
  <c r="H438" i="3"/>
  <c r="C439" i="3" s="1"/>
  <c r="E439" i="3" l="1"/>
  <c r="H439" i="3" s="1"/>
  <c r="C440" i="3" s="1"/>
  <c r="E440" i="3" l="1"/>
  <c r="H440" i="3"/>
  <c r="C441" i="3" s="1"/>
  <c r="E441" i="3" l="1"/>
  <c r="H441" i="3"/>
  <c r="C442" i="3" s="1"/>
  <c r="E442" i="3" l="1"/>
  <c r="H442" i="3" s="1"/>
  <c r="C443" i="3" s="1"/>
  <c r="E443" i="3" l="1"/>
  <c r="H443" i="3" s="1"/>
  <c r="C444" i="3" s="1"/>
  <c r="E444" i="3" l="1"/>
  <c r="H444" i="3" s="1"/>
  <c r="C445" i="3" s="1"/>
  <c r="E445" i="3" l="1"/>
  <c r="H445" i="3" s="1"/>
  <c r="C446" i="3" s="1"/>
  <c r="E446" i="3" l="1"/>
  <c r="H446" i="3" s="1"/>
  <c r="C447" i="3" s="1"/>
  <c r="E447" i="3" l="1"/>
  <c r="H447" i="3"/>
  <c r="C448" i="3" s="1"/>
  <c r="E448" i="3" l="1"/>
  <c r="H448" i="3" s="1"/>
  <c r="C449" i="3" s="1"/>
  <c r="E449" i="3" l="1"/>
  <c r="H449" i="3" s="1"/>
  <c r="C450" i="3" s="1"/>
  <c r="E450" i="3" l="1"/>
  <c r="H450" i="3"/>
  <c r="C451" i="3" s="1"/>
  <c r="E451" i="3" l="1"/>
  <c r="H451" i="3"/>
  <c r="C452" i="3" s="1"/>
  <c r="E452" i="3" l="1"/>
  <c r="H452" i="3" s="1"/>
  <c r="C453" i="3" s="1"/>
  <c r="E453" i="3" l="1"/>
  <c r="H453" i="3" s="1"/>
  <c r="C454" i="3" s="1"/>
  <c r="E454" i="3" l="1"/>
  <c r="H454" i="3" s="1"/>
  <c r="C455" i="3" s="1"/>
  <c r="E455" i="3" l="1"/>
  <c r="H455" i="3"/>
  <c r="C456" i="3" s="1"/>
  <c r="E456" i="3" l="1"/>
  <c r="H456" i="3"/>
  <c r="C457" i="3" s="1"/>
  <c r="E457" i="3" l="1"/>
  <c r="H457" i="3"/>
  <c r="C458" i="3" s="1"/>
  <c r="E458" i="3" l="1"/>
  <c r="H458" i="3" s="1"/>
  <c r="C459" i="3" s="1"/>
  <c r="E459" i="3" l="1"/>
  <c r="H459" i="3"/>
  <c r="C460" i="3" s="1"/>
  <c r="E460" i="3" l="1"/>
  <c r="H460" i="3"/>
  <c r="C461" i="3" s="1"/>
  <c r="E461" i="3" l="1"/>
  <c r="H461" i="3"/>
  <c r="C462" i="3" s="1"/>
  <c r="E462" i="3" l="1"/>
  <c r="H462" i="3"/>
  <c r="C463" i="3" s="1"/>
  <c r="E463" i="3" l="1"/>
  <c r="H463" i="3" s="1"/>
  <c r="C464" i="3" s="1"/>
  <c r="E464" i="3" l="1"/>
  <c r="H464" i="3" s="1"/>
  <c r="C465" i="3" s="1"/>
  <c r="E465" i="3" l="1"/>
  <c r="H465" i="3"/>
  <c r="C466" i="3" s="1"/>
  <c r="E466" i="3" l="1"/>
  <c r="H466" i="3"/>
  <c r="C467" i="3" s="1"/>
  <c r="E467" i="3" l="1"/>
  <c r="H467" i="3"/>
  <c r="C468" i="3" s="1"/>
  <c r="E468" i="3" l="1"/>
  <c r="H468" i="3"/>
  <c r="C469" i="3" s="1"/>
  <c r="E469" i="3" l="1"/>
  <c r="H469" i="3"/>
  <c r="C470" i="3" s="1"/>
  <c r="E470" i="3" l="1"/>
  <c r="H470" i="3"/>
  <c r="C471" i="3" s="1"/>
  <c r="E471" i="3" l="1"/>
  <c r="H471" i="3" s="1"/>
  <c r="C472" i="3" s="1"/>
  <c r="E472" i="3" l="1"/>
  <c r="H472" i="3"/>
  <c r="C473" i="3" s="1"/>
  <c r="E473" i="3" l="1"/>
  <c r="H473" i="3"/>
  <c r="C474" i="3" s="1"/>
  <c r="E474" i="3" l="1"/>
  <c r="H474" i="3" s="1"/>
  <c r="C475" i="3" s="1"/>
  <c r="E475" i="3" l="1"/>
  <c r="H475" i="3" s="1"/>
  <c r="C476" i="3" s="1"/>
  <c r="E476" i="3" l="1"/>
  <c r="H476" i="3"/>
  <c r="C477" i="3" s="1"/>
  <c r="E477" i="3" l="1"/>
  <c r="H477" i="3"/>
  <c r="C478" i="3" s="1"/>
  <c r="E478" i="3" l="1"/>
  <c r="H478" i="3"/>
  <c r="C479" i="3" s="1"/>
  <c r="E479" i="3" l="1"/>
  <c r="H479" i="3" s="1"/>
  <c r="C480" i="3" s="1"/>
  <c r="E480" i="3" l="1"/>
  <c r="H480" i="3" s="1"/>
  <c r="C481" i="3" s="1"/>
  <c r="E481" i="3" l="1"/>
  <c r="H481" i="3"/>
  <c r="C482" i="3" s="1"/>
  <c r="E482" i="3" l="1"/>
  <c r="H482" i="3"/>
  <c r="C483" i="3" s="1"/>
  <c r="E483" i="3" l="1"/>
  <c r="H483" i="3" s="1"/>
  <c r="C484" i="3" s="1"/>
  <c r="E484" i="3" l="1"/>
  <c r="H484" i="3" s="1"/>
  <c r="C485" i="3" s="1"/>
  <c r="E485" i="3" l="1"/>
  <c r="H485" i="3" s="1"/>
  <c r="C486" i="3" s="1"/>
  <c r="E486" i="3" l="1"/>
  <c r="H486" i="3"/>
  <c r="C487" i="3" s="1"/>
  <c r="E487" i="3" l="1"/>
  <c r="H487" i="3" s="1"/>
  <c r="C488" i="3" s="1"/>
  <c r="E488" i="3" l="1"/>
  <c r="H488" i="3"/>
  <c r="C489" i="3" s="1"/>
  <c r="E489" i="3" l="1"/>
  <c r="H489" i="3" s="1"/>
  <c r="C490" i="3" s="1"/>
  <c r="E490" i="3" l="1"/>
  <c r="H490" i="3"/>
  <c r="C491" i="3" s="1"/>
  <c r="E491" i="3" l="1"/>
  <c r="H491" i="3"/>
  <c r="C492" i="3" s="1"/>
  <c r="E492" i="3" l="1"/>
  <c r="H492" i="3" s="1"/>
  <c r="C493" i="3" s="1"/>
  <c r="E493" i="3" l="1"/>
  <c r="H493" i="3" s="1"/>
  <c r="C494" i="3" s="1"/>
  <c r="E494" i="3" l="1"/>
  <c r="H494" i="3"/>
  <c r="C495" i="3" s="1"/>
  <c r="E495" i="3" l="1"/>
  <c r="H495" i="3"/>
  <c r="C496" i="3" s="1"/>
  <c r="E496" i="3" l="1"/>
  <c r="H496" i="3" s="1"/>
  <c r="C497" i="3" s="1"/>
  <c r="E497" i="3" l="1"/>
  <c r="H497" i="3"/>
  <c r="C498" i="3" s="1"/>
  <c r="E498" i="3" l="1"/>
  <c r="H498" i="3" s="1"/>
  <c r="C499" i="3" s="1"/>
  <c r="E499" i="3" l="1"/>
  <c r="H499" i="3"/>
  <c r="C500" i="3" s="1"/>
  <c r="E500" i="3" l="1"/>
  <c r="H500" i="3"/>
  <c r="C501" i="3" s="1"/>
  <c r="E501" i="3" l="1"/>
  <c r="H501" i="3"/>
  <c r="C502" i="3" s="1"/>
  <c r="E502" i="3" l="1"/>
  <c r="H502" i="3" s="1"/>
  <c r="C503" i="3" s="1"/>
  <c r="E503" i="3" l="1"/>
  <c r="H503" i="3" s="1"/>
  <c r="C504" i="3" s="1"/>
  <c r="E504" i="3" l="1"/>
  <c r="H504" i="3" s="1"/>
  <c r="C505" i="3" s="1"/>
  <c r="E505" i="3" l="1"/>
  <c r="H505" i="3"/>
  <c r="C506" i="3" s="1"/>
  <c r="E506" i="3" l="1"/>
  <c r="H506" i="3" s="1"/>
  <c r="C507" i="3" s="1"/>
  <c r="E507" i="3" l="1"/>
  <c r="H507" i="3"/>
  <c r="C508" i="3" s="1"/>
  <c r="E508" i="3" l="1"/>
  <c r="H508" i="3" s="1"/>
  <c r="C509" i="3" s="1"/>
  <c r="E509" i="3" l="1"/>
  <c r="H509" i="3"/>
  <c r="C510" i="3" s="1"/>
  <c r="E510" i="3" l="1"/>
  <c r="H510" i="3" s="1"/>
  <c r="C511" i="3" s="1"/>
  <c r="E511" i="3" l="1"/>
  <c r="H511" i="3" s="1"/>
  <c r="C512" i="3" s="1"/>
  <c r="E512" i="3" l="1"/>
  <c r="H512" i="3" s="1"/>
  <c r="C513" i="3" s="1"/>
  <c r="E513" i="3" l="1"/>
  <c r="H513" i="3" s="1"/>
  <c r="C514" i="3" s="1"/>
  <c r="E514" i="3" l="1"/>
  <c r="H514" i="3" s="1"/>
  <c r="C515" i="3" s="1"/>
  <c r="E515" i="3" l="1"/>
  <c r="H515" i="3" s="1"/>
  <c r="C516" i="3" s="1"/>
  <c r="E516" i="3" l="1"/>
  <c r="H516" i="3" s="1"/>
  <c r="C517" i="3" s="1"/>
  <c r="E517" i="3" l="1"/>
  <c r="H517" i="3"/>
  <c r="C518" i="3" s="1"/>
  <c r="E518" i="3" l="1"/>
  <c r="H518" i="3" s="1"/>
  <c r="C519" i="3" s="1"/>
  <c r="E519" i="3" l="1"/>
  <c r="H519" i="3" s="1"/>
  <c r="C520" i="3" s="1"/>
  <c r="E520" i="3" l="1"/>
  <c r="H520" i="3" s="1"/>
  <c r="C521" i="3" s="1"/>
  <c r="E521" i="3" l="1"/>
  <c r="H521" i="3"/>
  <c r="C522" i="3" s="1"/>
  <c r="E522" i="3" l="1"/>
  <c r="H522" i="3"/>
  <c r="C523" i="3" s="1"/>
  <c r="E523" i="3" l="1"/>
  <c r="H523" i="3"/>
  <c r="C524" i="3" s="1"/>
  <c r="E524" i="3" l="1"/>
  <c r="H524" i="3" s="1"/>
  <c r="C525" i="3" s="1"/>
  <c r="E525" i="3" l="1"/>
  <c r="H525" i="3"/>
  <c r="C526" i="3" s="1"/>
  <c r="E526" i="3" l="1"/>
  <c r="H526" i="3" s="1"/>
  <c r="C527" i="3" s="1"/>
  <c r="E527" i="3" l="1"/>
  <c r="H527" i="3" s="1"/>
  <c r="C528" i="3" s="1"/>
  <c r="E528" i="3" l="1"/>
  <c r="H528" i="3" s="1"/>
  <c r="C529" i="3" s="1"/>
  <c r="E529" i="3" l="1"/>
  <c r="H529" i="3" s="1"/>
  <c r="C530" i="3" s="1"/>
  <c r="E530" i="3" l="1"/>
  <c r="H530" i="3" s="1"/>
  <c r="C531" i="3" s="1"/>
  <c r="E531" i="3" l="1"/>
  <c r="H531" i="3" s="1"/>
  <c r="C532" i="3" s="1"/>
  <c r="E532" i="3" l="1"/>
  <c r="H532" i="3" s="1"/>
  <c r="C533" i="3" s="1"/>
  <c r="E533" i="3" l="1"/>
  <c r="H533" i="3"/>
  <c r="C534" i="3" s="1"/>
  <c r="E534" i="3" l="1"/>
  <c r="H534" i="3"/>
  <c r="C535" i="3" s="1"/>
  <c r="E535" i="3" l="1"/>
  <c r="H535" i="3" s="1"/>
  <c r="C536" i="3" s="1"/>
  <c r="E536" i="3" l="1"/>
  <c r="H536" i="3"/>
  <c r="C537" i="3" s="1"/>
  <c r="E537" i="3" l="1"/>
  <c r="H537" i="3"/>
  <c r="C538" i="3" s="1"/>
  <c r="E538" i="3" l="1"/>
  <c r="H538" i="3" s="1"/>
  <c r="C539" i="3" s="1"/>
  <c r="E539" i="3" l="1"/>
  <c r="H539" i="3" s="1"/>
  <c r="C540" i="3" s="1"/>
  <c r="E540" i="3" l="1"/>
  <c r="H540" i="3"/>
  <c r="C541" i="3" s="1"/>
  <c r="E541" i="3" l="1"/>
  <c r="H541" i="3"/>
  <c r="C542" i="3" s="1"/>
  <c r="E542" i="3" l="1"/>
  <c r="H542" i="3"/>
  <c r="C543" i="3" s="1"/>
  <c r="E543" i="3" l="1"/>
  <c r="H543" i="3" s="1"/>
  <c r="C544" i="3" s="1"/>
  <c r="E544" i="3" l="1"/>
  <c r="H544" i="3" s="1"/>
  <c r="C545" i="3" s="1"/>
  <c r="E545" i="3" l="1"/>
  <c r="H545" i="3"/>
  <c r="C546" i="3" s="1"/>
  <c r="E546" i="3" l="1"/>
  <c r="H546" i="3"/>
  <c r="C547" i="3" s="1"/>
  <c r="E547" i="3" l="1"/>
  <c r="H547" i="3"/>
  <c r="C548" i="3" s="1"/>
  <c r="E548" i="3" l="1"/>
  <c r="H548" i="3" s="1"/>
  <c r="C549" i="3" s="1"/>
  <c r="E549" i="3" l="1"/>
  <c r="H549" i="3" s="1"/>
  <c r="C550" i="3" s="1"/>
  <c r="E550" i="3" l="1"/>
  <c r="H550" i="3" s="1"/>
  <c r="C551" i="3" s="1"/>
  <c r="E551" i="3" l="1"/>
  <c r="H551" i="3" s="1"/>
  <c r="C552" i="3" s="1"/>
  <c r="E552" i="3" l="1"/>
  <c r="H552" i="3"/>
  <c r="C553" i="3" s="1"/>
  <c r="E553" i="3" l="1"/>
  <c r="H553" i="3"/>
  <c r="C554" i="3" s="1"/>
  <c r="E554" i="3" l="1"/>
  <c r="H554" i="3" s="1"/>
  <c r="C555" i="3" s="1"/>
  <c r="E555" i="3" l="1"/>
  <c r="H555" i="3" s="1"/>
  <c r="C556" i="3" s="1"/>
  <c r="E556" i="3" l="1"/>
  <c r="H556" i="3" s="1"/>
  <c r="C557" i="3" s="1"/>
  <c r="E557" i="3" l="1"/>
  <c r="H557" i="3" s="1"/>
  <c r="C558" i="3" s="1"/>
  <c r="E558" i="3" l="1"/>
  <c r="H558" i="3"/>
  <c r="C559" i="3" s="1"/>
  <c r="E559" i="3" l="1"/>
  <c r="H559" i="3" s="1"/>
  <c r="C560" i="3" s="1"/>
  <c r="E560" i="3" l="1"/>
  <c r="H560" i="3"/>
  <c r="C561" i="3" s="1"/>
  <c r="E561" i="3" l="1"/>
  <c r="H561" i="3" s="1"/>
  <c r="C562" i="3" s="1"/>
  <c r="E562" i="3" l="1"/>
  <c r="H562" i="3" s="1"/>
  <c r="C563" i="3" s="1"/>
  <c r="E563" i="3" l="1"/>
  <c r="H563" i="3"/>
  <c r="C564" i="3" s="1"/>
  <c r="E564" i="3" l="1"/>
  <c r="H564" i="3"/>
  <c r="C565" i="3" s="1"/>
  <c r="E565" i="3" l="1"/>
  <c r="H565" i="3"/>
  <c r="C566" i="3" s="1"/>
  <c r="E566" i="3" l="1"/>
  <c r="H566" i="3"/>
  <c r="C567" i="3" s="1"/>
  <c r="E567" i="3" l="1"/>
  <c r="H567" i="3" s="1"/>
  <c r="C568" i="3" s="1"/>
  <c r="E568" i="3" l="1"/>
  <c r="H568" i="3"/>
  <c r="C569" i="3" s="1"/>
  <c r="E569" i="3" l="1"/>
  <c r="H569" i="3" s="1"/>
  <c r="C570" i="3" s="1"/>
  <c r="E570" i="3" l="1"/>
  <c r="H570" i="3" s="1"/>
  <c r="C571" i="3" s="1"/>
  <c r="E571" i="3" l="1"/>
  <c r="H571" i="3"/>
  <c r="C572" i="3" s="1"/>
  <c r="E572" i="3" l="1"/>
  <c r="H572" i="3" s="1"/>
  <c r="C573" i="3" s="1"/>
  <c r="E573" i="3" l="1"/>
  <c r="H573" i="3" s="1"/>
  <c r="C574" i="3" s="1"/>
  <c r="E574" i="3" l="1"/>
  <c r="H574" i="3" s="1"/>
  <c r="C575" i="3" s="1"/>
  <c r="E575" i="3" l="1"/>
  <c r="H575" i="3" s="1"/>
  <c r="C576" i="3" s="1"/>
  <c r="E576" i="3" l="1"/>
  <c r="H576" i="3"/>
  <c r="C577" i="3" s="1"/>
  <c r="E577" i="3" l="1"/>
  <c r="H577" i="3"/>
  <c r="C578" i="3" s="1"/>
  <c r="E578" i="3" l="1"/>
  <c r="H578" i="3"/>
  <c r="C579" i="3" s="1"/>
  <c r="E579" i="3" l="1"/>
  <c r="H579" i="3"/>
  <c r="C580" i="3" s="1"/>
  <c r="E580" i="3" l="1"/>
  <c r="H580" i="3" s="1"/>
  <c r="C581" i="3" s="1"/>
  <c r="E581" i="3" l="1"/>
  <c r="H581" i="3" s="1"/>
  <c r="C582" i="3" s="1"/>
  <c r="E582" i="3" l="1"/>
  <c r="H582" i="3" s="1"/>
  <c r="C583" i="3" s="1"/>
  <c r="E583" i="3" l="1"/>
  <c r="H583" i="3"/>
  <c r="C584" i="3" s="1"/>
  <c r="E584" i="3" l="1"/>
  <c r="H584" i="3"/>
  <c r="C585" i="3" s="1"/>
  <c r="E585" i="3" l="1"/>
  <c r="H585" i="3" s="1"/>
  <c r="C586" i="3" s="1"/>
  <c r="E586" i="3" l="1"/>
  <c r="H586" i="3" s="1"/>
  <c r="C587" i="3" s="1"/>
  <c r="E587" i="3" l="1"/>
  <c r="H587" i="3" s="1"/>
  <c r="C588" i="3" s="1"/>
  <c r="E588" i="3" l="1"/>
  <c r="H588" i="3" s="1"/>
  <c r="C589" i="3" s="1"/>
  <c r="E589" i="3" l="1"/>
  <c r="H589" i="3"/>
  <c r="C590" i="3" s="1"/>
  <c r="E590" i="3" l="1"/>
  <c r="H590" i="3"/>
  <c r="C591" i="3" s="1"/>
  <c r="E591" i="3" l="1"/>
  <c r="H591" i="3"/>
  <c r="C592" i="3" s="1"/>
  <c r="E592" i="3" l="1"/>
  <c r="H592" i="3"/>
  <c r="C593" i="3" s="1"/>
  <c r="E593" i="3" l="1"/>
  <c r="H593" i="3" s="1"/>
  <c r="C594" i="3" s="1"/>
  <c r="E594" i="3" l="1"/>
  <c r="H594" i="3" s="1"/>
  <c r="C595" i="3" s="1"/>
  <c r="E595" i="3" l="1"/>
  <c r="H595" i="3"/>
  <c r="C596" i="3" s="1"/>
  <c r="E596" i="3" l="1"/>
  <c r="H596" i="3"/>
  <c r="C597" i="3" s="1"/>
  <c r="E597" i="3" l="1"/>
  <c r="H597" i="3" s="1"/>
  <c r="C598" i="3" s="1"/>
  <c r="E598" i="3" l="1"/>
  <c r="H598" i="3" s="1"/>
  <c r="C599" i="3" s="1"/>
  <c r="E599" i="3" l="1"/>
  <c r="H599" i="3" s="1"/>
  <c r="C600" i="3" s="1"/>
  <c r="E600" i="3" l="1"/>
  <c r="H600" i="3"/>
  <c r="C601" i="3" s="1"/>
  <c r="E601" i="3" l="1"/>
  <c r="H601" i="3"/>
  <c r="C602" i="3" s="1"/>
  <c r="E602" i="3" l="1"/>
  <c r="H602" i="3" s="1"/>
  <c r="C603" i="3" s="1"/>
  <c r="E603" i="3" s="1"/>
  <c r="H603" i="3" l="1"/>
  <c r="C604" i="3" s="1"/>
  <c r="E604" i="3" s="1"/>
  <c r="H604" i="3" l="1"/>
  <c r="C605" i="3" s="1"/>
  <c r="E605" i="3" s="1"/>
  <c r="H605" i="3" l="1"/>
  <c r="C606" i="3" s="1"/>
  <c r="E606" i="3" l="1"/>
  <c r="H606" i="3" s="1"/>
  <c r="C607" i="3" s="1"/>
  <c r="E607" i="3" l="1"/>
  <c r="H607" i="3" s="1"/>
  <c r="C608" i="3" s="1"/>
  <c r="E608" i="3" l="1"/>
  <c r="H608" i="3" s="1"/>
  <c r="C609" i="3" l="1"/>
  <c r="E609" i="3" s="1"/>
  <c r="H609" i="3" s="1"/>
  <c r="C610" i="3" s="1"/>
  <c r="E610" i="3" l="1"/>
  <c r="H610" i="3" s="1"/>
  <c r="K60" i="4" l="1"/>
  <c r="M60" i="4" s="1"/>
  <c r="O60" i="4" s="1"/>
  <c r="L61" i="4" s="1"/>
  <c r="M61" i="4" s="1"/>
  <c r="O61" i="4" s="1"/>
  <c r="K61" i="4"/>
  <c r="K62" i="4"/>
  <c r="K63" i="4"/>
  <c r="K64" i="4"/>
  <c r="K65" i="4"/>
  <c r="K66" i="4"/>
  <c r="K67" i="4"/>
  <c r="K68" i="4"/>
  <c r="K69" i="4"/>
  <c r="L62" i="4" l="1"/>
  <c r="M62" i="4" l="1"/>
  <c r="O62" i="4" s="1"/>
  <c r="L63" i="4" l="1"/>
  <c r="M63" i="4" l="1"/>
  <c r="O63" i="4" s="1"/>
  <c r="L64" i="4" l="1"/>
  <c r="M64" i="4" l="1"/>
  <c r="O64" i="4" s="1"/>
  <c r="L65" i="4" l="1"/>
  <c r="M65" i="4" l="1"/>
  <c r="O65" i="4" s="1"/>
  <c r="L66" i="4" l="1"/>
  <c r="M66" i="4" l="1"/>
  <c r="O66" i="4" s="1"/>
  <c r="L67" i="4" l="1"/>
  <c r="M67" i="4" s="1"/>
  <c r="O67" i="4" s="1"/>
  <c r="L68" i="4" l="1"/>
  <c r="M68" i="4" s="1"/>
  <c r="O68" i="4"/>
  <c r="L69" i="4" l="1"/>
  <c r="M69" i="4" s="1"/>
  <c r="O69" i="4"/>
  <c r="L70" i="4" l="1"/>
  <c r="M70" i="4" l="1"/>
  <c r="O70" i="4" s="1"/>
  <c r="K70" i="4"/>
  <c r="L71" i="4"/>
  <c r="M71" i="4"/>
  <c r="O71" i="4" s="1"/>
  <c r="L72" i="4" l="1"/>
  <c r="M72" i="4"/>
  <c r="O72" i="4"/>
  <c r="K71" i="4"/>
  <c r="L73" i="4" l="1"/>
  <c r="M73" i="4"/>
  <c r="O73" i="4"/>
  <c r="K72" i="4"/>
  <c r="L74" i="4" l="1"/>
  <c r="M74" i="4"/>
  <c r="O74" i="4"/>
  <c r="K73" i="4"/>
  <c r="L75" i="4" l="1"/>
  <c r="M75" i="4"/>
  <c r="O75" i="4"/>
  <c r="K74" i="4"/>
  <c r="M76" i="4" l="1"/>
  <c r="O76" i="4"/>
  <c r="L76" i="4"/>
  <c r="K76" i="4" s="1"/>
  <c r="K75" i="4"/>
  <c r="M77" i="4" l="1"/>
  <c r="O77" i="4"/>
  <c r="L77" i="4"/>
  <c r="K77" i="4" s="1"/>
  <c r="M78" i="4" l="1"/>
  <c r="O78" i="4"/>
  <c r="L78" i="4"/>
  <c r="K78" i="4" s="1"/>
  <c r="M79" i="4" l="1"/>
  <c r="O79" i="4"/>
  <c r="L79" i="4"/>
  <c r="K79" i="4" s="1"/>
  <c r="M80" i="4" l="1"/>
  <c r="O80" i="4"/>
  <c r="L80" i="4"/>
  <c r="K80" i="4" s="1"/>
  <c r="M81" i="4" l="1"/>
  <c r="L81" i="4"/>
  <c r="K81" i="4" s="1"/>
  <c r="O81" i="4"/>
  <c r="L82" i="4" l="1"/>
  <c r="M82" i="4"/>
  <c r="O82" i="4"/>
  <c r="L83" i="4" l="1"/>
  <c r="M83" i="4"/>
  <c r="O83" i="4"/>
  <c r="K82" i="4"/>
  <c r="M84" i="4" l="1"/>
  <c r="O84" i="4"/>
  <c r="L84" i="4"/>
  <c r="K84" i="4" s="1"/>
  <c r="K83" i="4"/>
  <c r="M85" i="4" l="1"/>
  <c r="O85" i="4"/>
  <c r="L85" i="4"/>
  <c r="K85" i="4" s="1"/>
  <c r="M86" i="4" l="1"/>
  <c r="O86" i="4" s="1"/>
  <c r="L86" i="4"/>
  <c r="K86" i="4" l="1"/>
  <c r="L87" i="4"/>
  <c r="M87" i="4"/>
  <c r="O87" i="4" s="1"/>
  <c r="L88" i="4" l="1"/>
  <c r="M88" i="4"/>
  <c r="O88" i="4"/>
  <c r="K87" i="4"/>
  <c r="L89" i="4" l="1"/>
  <c r="M89" i="4"/>
  <c r="O89" i="4"/>
  <c r="K88" i="4"/>
  <c r="L90" i="4" l="1"/>
  <c r="M90" i="4"/>
  <c r="O90" i="4"/>
  <c r="K89" i="4"/>
  <c r="L91" i="4" l="1"/>
  <c r="M91" i="4"/>
  <c r="O91" i="4"/>
  <c r="K90" i="4"/>
  <c r="M92" i="4" l="1"/>
  <c r="O92" i="4" s="1"/>
  <c r="L92" i="4"/>
  <c r="K91" i="4"/>
  <c r="K92" i="4" l="1"/>
  <c r="M93" i="4"/>
  <c r="O93" i="4"/>
  <c r="L93" i="4"/>
  <c r="K93" i="4" s="1"/>
  <c r="M94" i="4" l="1"/>
  <c r="O94" i="4"/>
  <c r="L94" i="4"/>
  <c r="K94" i="4" s="1"/>
  <c r="M95" i="4" l="1"/>
  <c r="O95" i="4"/>
  <c r="L95" i="4"/>
  <c r="K95" i="4" s="1"/>
  <c r="M96" i="4" l="1"/>
  <c r="O96" i="4"/>
  <c r="L96" i="4"/>
  <c r="K96" i="4" s="1"/>
  <c r="M97" i="4" l="1"/>
  <c r="L97" i="4"/>
  <c r="K97" i="4" s="1"/>
  <c r="O97" i="4"/>
  <c r="L98" i="4" l="1"/>
  <c r="M98" i="4"/>
  <c r="O98" i="4"/>
  <c r="L99" i="4" l="1"/>
  <c r="M99" i="4"/>
  <c r="O99" i="4"/>
  <c r="K98" i="4"/>
  <c r="M100" i="4" l="1"/>
  <c r="O100" i="4"/>
  <c r="L100" i="4"/>
  <c r="K100" i="4" s="1"/>
  <c r="K99" i="4"/>
  <c r="M101" i="4" l="1"/>
  <c r="O101" i="4"/>
  <c r="L101" i="4"/>
  <c r="K101" i="4" s="1"/>
  <c r="M102" i="4" l="1"/>
  <c r="O102" i="4"/>
  <c r="L102" i="4"/>
  <c r="K102" i="4" s="1"/>
  <c r="L103" i="4" l="1"/>
  <c r="M103" i="4"/>
  <c r="O103" i="4"/>
  <c r="L104" i="4" l="1"/>
  <c r="M104" i="4"/>
  <c r="O104" i="4"/>
  <c r="K103" i="4"/>
  <c r="L105" i="4" l="1"/>
  <c r="M105" i="4"/>
  <c r="O105" i="4"/>
  <c r="K104" i="4"/>
  <c r="L106" i="4" l="1"/>
  <c r="M106" i="4"/>
  <c r="O106" i="4"/>
  <c r="K105" i="4"/>
  <c r="L107" i="4" l="1"/>
  <c r="M107" i="4"/>
  <c r="O107" i="4"/>
  <c r="K106" i="4"/>
  <c r="M108" i="4" l="1"/>
  <c r="O108" i="4"/>
  <c r="L108" i="4"/>
  <c r="K108" i="4" s="1"/>
  <c r="K107" i="4"/>
  <c r="M109" i="4" l="1"/>
  <c r="O109" i="4"/>
  <c r="L109" i="4"/>
  <c r="K109" i="4" s="1"/>
  <c r="M110" i="4" l="1"/>
  <c r="O110" i="4"/>
  <c r="L110" i="4"/>
  <c r="K110" i="4" s="1"/>
  <c r="M111" i="4" l="1"/>
  <c r="O111" i="4"/>
  <c r="L111" i="4"/>
  <c r="K111" i="4" s="1"/>
  <c r="M112" i="4" l="1"/>
  <c r="O112" i="4"/>
  <c r="L112" i="4"/>
  <c r="K112" i="4" s="1"/>
  <c r="M113" i="4" l="1"/>
  <c r="L113" i="4"/>
  <c r="K113" i="4" s="1"/>
  <c r="O113" i="4"/>
  <c r="L114" i="4" l="1"/>
  <c r="M114" i="4"/>
  <c r="O114" i="4"/>
  <c r="L115" i="4" l="1"/>
  <c r="M115" i="4"/>
  <c r="O115" i="4"/>
  <c r="K114" i="4"/>
  <c r="M116" i="4" l="1"/>
  <c r="O116" i="4"/>
  <c r="L116" i="4"/>
  <c r="K116" i="4" s="1"/>
  <c r="K115" i="4"/>
  <c r="M117" i="4" l="1"/>
  <c r="O117" i="4"/>
  <c r="L117" i="4"/>
  <c r="K117" i="4" s="1"/>
  <c r="M118" i="4" l="1"/>
  <c r="O118" i="4"/>
  <c r="L118" i="4"/>
  <c r="K118" i="4" s="1"/>
  <c r="L119" i="4" l="1"/>
  <c r="M119" i="4"/>
  <c r="O119" i="4"/>
  <c r="L120" i="4" l="1"/>
  <c r="M120" i="4"/>
  <c r="O120" i="4"/>
  <c r="K119" i="4"/>
  <c r="L121" i="4" l="1"/>
  <c r="M121" i="4"/>
  <c r="O121" i="4"/>
  <c r="K120" i="4"/>
  <c r="L122" i="4" l="1"/>
  <c r="M122" i="4"/>
  <c r="O122" i="4"/>
  <c r="K121" i="4"/>
  <c r="L123" i="4" l="1"/>
  <c r="M123" i="4"/>
  <c r="O123" i="4"/>
  <c r="K122" i="4"/>
  <c r="M124" i="4" l="1"/>
  <c r="O124" i="4"/>
  <c r="L124" i="4"/>
  <c r="K124" i="4" s="1"/>
  <c r="K123" i="4"/>
  <c r="M125" i="4" l="1"/>
  <c r="O125" i="4"/>
  <c r="L125" i="4"/>
  <c r="K125" i="4" s="1"/>
  <c r="M126" i="4" l="1"/>
  <c r="O126" i="4"/>
  <c r="L126" i="4"/>
  <c r="K126" i="4" s="1"/>
  <c r="M127" i="4" l="1"/>
  <c r="O127" i="4" s="1"/>
  <c r="L127" i="4"/>
  <c r="K127" i="4" s="1"/>
  <c r="M128" i="4" l="1"/>
  <c r="O128" i="4"/>
  <c r="L128" i="4"/>
  <c r="K128" i="4" s="1"/>
  <c r="M129" i="4" l="1"/>
  <c r="L129" i="4"/>
  <c r="K129" i="4" s="1"/>
  <c r="O129" i="4"/>
  <c r="L130" i="4" l="1"/>
  <c r="M130" i="4"/>
  <c r="O130" i="4"/>
  <c r="K130" i="4" l="1"/>
  <c r="L131" i="4"/>
  <c r="M131" i="4"/>
  <c r="O131" i="4" s="1"/>
  <c r="M132" i="4" l="1"/>
  <c r="O132" i="4"/>
  <c r="L132" i="4"/>
  <c r="K132" i="4" s="1"/>
  <c r="K131" i="4"/>
  <c r="M133" i="4" l="1"/>
  <c r="O133" i="4"/>
  <c r="L133" i="4"/>
  <c r="K133" i="4" s="1"/>
  <c r="M134" i="4" l="1"/>
  <c r="O134" i="4"/>
  <c r="L134" i="4"/>
  <c r="K134" i="4" s="1"/>
  <c r="L135" i="4" l="1"/>
  <c r="M135" i="4"/>
  <c r="O135" i="4"/>
  <c r="L136" i="4" l="1"/>
  <c r="M136" i="4"/>
  <c r="O136" i="4"/>
  <c r="K135" i="4"/>
  <c r="L137" i="4" l="1"/>
  <c r="M137" i="4"/>
  <c r="O137" i="4"/>
  <c r="K136" i="4"/>
  <c r="L138" i="4" l="1"/>
  <c r="M138" i="4"/>
  <c r="O138" i="4"/>
  <c r="K137" i="4"/>
  <c r="L139" i="4" l="1"/>
  <c r="M139" i="4"/>
  <c r="O139" i="4"/>
  <c r="K138" i="4"/>
  <c r="M140" i="4" l="1"/>
  <c r="O140" i="4"/>
  <c r="L140" i="4"/>
  <c r="K140" i="4" s="1"/>
  <c r="K139" i="4"/>
  <c r="M141" i="4" l="1"/>
  <c r="O141" i="4"/>
  <c r="L141" i="4"/>
  <c r="K141" i="4" s="1"/>
  <c r="M142" i="4" l="1"/>
  <c r="O142" i="4"/>
  <c r="L142" i="4"/>
  <c r="K142" i="4" s="1"/>
  <c r="M143" i="4" l="1"/>
  <c r="O143" i="4"/>
  <c r="L143" i="4"/>
  <c r="K143" i="4" s="1"/>
  <c r="M144" i="4" l="1"/>
  <c r="O144" i="4"/>
  <c r="L144" i="4"/>
  <c r="K144" i="4" s="1"/>
  <c r="M145" i="4" l="1"/>
  <c r="O145" i="4"/>
  <c r="L145" i="4"/>
  <c r="K145" i="4" s="1"/>
  <c r="L146" i="4" l="1"/>
  <c r="M146" i="4"/>
  <c r="O146" i="4"/>
  <c r="L147" i="4" l="1"/>
  <c r="M147" i="4"/>
  <c r="O147" i="4"/>
  <c r="K146" i="4"/>
  <c r="M148" i="4" l="1"/>
  <c r="O148" i="4"/>
  <c r="L148" i="4"/>
  <c r="K148" i="4" s="1"/>
  <c r="K147" i="4"/>
  <c r="M149" i="4" l="1"/>
  <c r="O149" i="4"/>
  <c r="L149" i="4"/>
  <c r="K149" i="4" s="1"/>
  <c r="M150" i="4" l="1"/>
  <c r="O150" i="4"/>
  <c r="L150" i="4"/>
  <c r="K150" i="4" s="1"/>
  <c r="L151" i="4" l="1"/>
  <c r="M151" i="4"/>
  <c r="O151" i="4"/>
  <c r="L152" i="4" l="1"/>
  <c r="M152" i="4"/>
  <c r="O152" i="4"/>
  <c r="K151" i="4"/>
  <c r="L153" i="4" l="1"/>
  <c r="M153" i="4"/>
  <c r="O153" i="4"/>
  <c r="K152" i="4"/>
  <c r="L154" i="4" l="1"/>
  <c r="M154" i="4"/>
  <c r="O154" i="4"/>
  <c r="K153" i="4"/>
  <c r="L155" i="4" l="1"/>
  <c r="M155" i="4"/>
  <c r="O155" i="4"/>
  <c r="K154" i="4"/>
  <c r="M156" i="4" l="1"/>
  <c r="O156" i="4"/>
  <c r="L156" i="4"/>
  <c r="K156" i="4" s="1"/>
  <c r="K155" i="4"/>
  <c r="M157" i="4" l="1"/>
  <c r="O157" i="4"/>
  <c r="L157" i="4"/>
  <c r="K157" i="4" s="1"/>
  <c r="M158" i="4" l="1"/>
  <c r="O158" i="4"/>
  <c r="L158" i="4"/>
  <c r="K158" i="4" s="1"/>
  <c r="M159" i="4" l="1"/>
  <c r="O159" i="4"/>
  <c r="L159" i="4"/>
  <c r="K159" i="4" s="1"/>
  <c r="M160" i="4" l="1"/>
  <c r="O160" i="4"/>
  <c r="L160" i="4"/>
  <c r="K160" i="4" s="1"/>
  <c r="M161" i="4" l="1"/>
  <c r="O161" i="4"/>
  <c r="L161" i="4"/>
  <c r="K161" i="4" s="1"/>
  <c r="L162" i="4" l="1"/>
  <c r="M162" i="4"/>
  <c r="O162" i="4"/>
  <c r="L163" i="4" l="1"/>
  <c r="M163" i="4"/>
  <c r="O163" i="4"/>
  <c r="K162" i="4"/>
  <c r="M164" i="4" l="1"/>
  <c r="O164" i="4" s="1"/>
  <c r="L164" i="4"/>
  <c r="K163" i="4"/>
  <c r="K164" i="4" l="1"/>
  <c r="M165" i="4"/>
  <c r="O165" i="4"/>
  <c r="L165" i="4"/>
  <c r="K165" i="4" s="1"/>
  <c r="M166" i="4" l="1"/>
  <c r="O166" i="4"/>
  <c r="L166" i="4"/>
  <c r="K166" i="4" s="1"/>
  <c r="L167" i="4" l="1"/>
  <c r="M167" i="4"/>
  <c r="O167" i="4"/>
  <c r="L168" i="4" l="1"/>
  <c r="M168" i="4"/>
  <c r="O168" i="4"/>
  <c r="K167" i="4"/>
  <c r="L169" i="4" l="1"/>
  <c r="M169" i="4"/>
  <c r="O169" i="4" s="1"/>
  <c r="K168" i="4"/>
  <c r="L170" i="4" l="1"/>
  <c r="M170" i="4"/>
  <c r="O170" i="4"/>
  <c r="K169" i="4"/>
  <c r="L171" i="4" l="1"/>
  <c r="M171" i="4"/>
  <c r="O171" i="4"/>
  <c r="K170" i="4"/>
  <c r="M172" i="4" l="1"/>
  <c r="O172" i="4"/>
  <c r="L172" i="4"/>
  <c r="K172" i="4" s="1"/>
  <c r="K171" i="4"/>
  <c r="M173" i="4" l="1"/>
  <c r="O173" i="4"/>
  <c r="L173" i="4"/>
  <c r="K173" i="4" s="1"/>
  <c r="M174" i="4" l="1"/>
  <c r="O174" i="4"/>
  <c r="L174" i="4"/>
  <c r="K174" i="4" s="1"/>
  <c r="M175" i="4" l="1"/>
  <c r="O175" i="4"/>
  <c r="L175" i="4"/>
  <c r="K175" i="4" s="1"/>
  <c r="M176" i="4" l="1"/>
  <c r="O176" i="4"/>
  <c r="L176" i="4"/>
  <c r="K176" i="4" s="1"/>
  <c r="M177" i="4" l="1"/>
  <c r="O177" i="4"/>
  <c r="L177" i="4"/>
  <c r="K177" i="4" s="1"/>
  <c r="L178" i="4" l="1"/>
  <c r="M178" i="4"/>
  <c r="O178" i="4"/>
  <c r="L179" i="4" l="1"/>
  <c r="M179" i="4"/>
  <c r="O179" i="4"/>
  <c r="K178" i="4"/>
  <c r="M180" i="4" l="1"/>
  <c r="O180" i="4"/>
  <c r="L180" i="4"/>
  <c r="K180" i="4" s="1"/>
  <c r="K179" i="4"/>
  <c r="M181" i="4" l="1"/>
  <c r="O181" i="4" s="1"/>
  <c r="L181" i="4"/>
  <c r="K181" i="4" s="1"/>
  <c r="M182" i="4" l="1"/>
  <c r="O182" i="4"/>
  <c r="L182" i="4"/>
  <c r="K182" i="4" s="1"/>
  <c r="L183" i="4" l="1"/>
  <c r="M183" i="4"/>
  <c r="O183" i="4"/>
  <c r="L184" i="4" l="1"/>
  <c r="M184" i="4"/>
  <c r="O184" i="4"/>
  <c r="K183" i="4"/>
  <c r="L185" i="4" l="1"/>
  <c r="M185" i="4"/>
  <c r="O185" i="4"/>
  <c r="K184" i="4"/>
  <c r="L186" i="4" l="1"/>
  <c r="M186" i="4"/>
  <c r="O186" i="4"/>
  <c r="K185" i="4"/>
  <c r="L187" i="4" l="1"/>
  <c r="M187" i="4"/>
  <c r="O187" i="4"/>
  <c r="K186" i="4"/>
  <c r="M188" i="4" l="1"/>
  <c r="O188" i="4"/>
  <c r="L188" i="4"/>
  <c r="K188" i="4" s="1"/>
  <c r="K187" i="4"/>
  <c r="M189" i="4" l="1"/>
  <c r="O189" i="4"/>
  <c r="L189" i="4"/>
  <c r="K189" i="4" s="1"/>
  <c r="M190" i="4" l="1"/>
  <c r="O190" i="4"/>
  <c r="L190" i="4"/>
  <c r="K190" i="4" s="1"/>
  <c r="M191" i="4" l="1"/>
  <c r="O191" i="4"/>
  <c r="L191" i="4"/>
  <c r="K191" i="4" s="1"/>
  <c r="M192" i="4" l="1"/>
  <c r="O192" i="4"/>
  <c r="L192" i="4"/>
  <c r="K192" i="4" s="1"/>
  <c r="M193" i="4" l="1"/>
  <c r="O193" i="4"/>
  <c r="L193" i="4"/>
  <c r="K193" i="4" s="1"/>
  <c r="L194" i="4" l="1"/>
  <c r="M194" i="4"/>
  <c r="O194" i="4"/>
  <c r="L195" i="4" l="1"/>
  <c r="M195" i="4"/>
  <c r="O195" i="4"/>
  <c r="K194" i="4"/>
  <c r="M196" i="4" l="1"/>
  <c r="O196" i="4"/>
  <c r="L196" i="4"/>
  <c r="K196" i="4" s="1"/>
  <c r="K195" i="4"/>
  <c r="M197" i="4" l="1"/>
  <c r="O197" i="4"/>
  <c r="L197" i="4"/>
  <c r="K197" i="4" s="1"/>
  <c r="M198" i="4" l="1"/>
  <c r="O198" i="4"/>
  <c r="L198" i="4"/>
  <c r="K198" i="4" s="1"/>
  <c r="L199" i="4" l="1"/>
  <c r="M199" i="4"/>
  <c r="O199" i="4"/>
  <c r="L200" i="4" l="1"/>
  <c r="M200" i="4"/>
  <c r="O200" i="4"/>
  <c r="K199" i="4"/>
  <c r="L201" i="4" l="1"/>
  <c r="M201" i="4"/>
  <c r="O201" i="4"/>
  <c r="K200" i="4"/>
  <c r="L202" i="4" l="1"/>
  <c r="M202" i="4"/>
  <c r="O202" i="4"/>
  <c r="K201" i="4"/>
  <c r="L203" i="4" l="1"/>
  <c r="M203" i="4"/>
  <c r="O203" i="4"/>
  <c r="K202" i="4"/>
  <c r="M204" i="4" l="1"/>
  <c r="O204" i="4"/>
  <c r="L204" i="4"/>
  <c r="K204" i="4" s="1"/>
  <c r="K203" i="4"/>
  <c r="M205" i="4" l="1"/>
  <c r="O205" i="4"/>
  <c r="L205" i="4"/>
  <c r="K205" i="4" s="1"/>
  <c r="M206" i="4" l="1"/>
  <c r="O206" i="4"/>
  <c r="L206" i="4"/>
  <c r="K206" i="4" s="1"/>
  <c r="M207" i="4" l="1"/>
  <c r="O207" i="4"/>
  <c r="L207" i="4"/>
  <c r="K207" i="4" s="1"/>
  <c r="M208" i="4" l="1"/>
  <c r="O208" i="4"/>
  <c r="L208" i="4"/>
  <c r="K208" i="4" s="1"/>
  <c r="M209" i="4" l="1"/>
  <c r="O209" i="4"/>
  <c r="L209" i="4"/>
  <c r="K209" i="4" s="1"/>
  <c r="L210" i="4" l="1"/>
  <c r="M210" i="4"/>
  <c r="O210" i="4"/>
  <c r="L211" i="4" l="1"/>
  <c r="M211" i="4"/>
  <c r="O211" i="4"/>
  <c r="K210" i="4"/>
  <c r="M212" i="4" l="1"/>
  <c r="O212" i="4"/>
  <c r="L212" i="4"/>
  <c r="K212" i="4" s="1"/>
  <c r="K211" i="4"/>
  <c r="M213" i="4" l="1"/>
  <c r="O213" i="4"/>
  <c r="L213" i="4"/>
  <c r="K213" i="4" s="1"/>
  <c r="M214" i="4" l="1"/>
  <c r="O214" i="4"/>
  <c r="L214" i="4"/>
  <c r="K214" i="4" s="1"/>
  <c r="L215" i="4" l="1"/>
  <c r="M215" i="4"/>
  <c r="O215" i="4"/>
  <c r="L216" i="4" l="1"/>
  <c r="M216" i="4"/>
  <c r="O216" i="4"/>
  <c r="K215" i="4"/>
  <c r="L217" i="4" l="1"/>
  <c r="M217" i="4"/>
  <c r="O217" i="4" s="1"/>
  <c r="K216" i="4"/>
  <c r="L218" i="4" l="1"/>
  <c r="M218" i="4"/>
  <c r="O218" i="4"/>
  <c r="K217" i="4"/>
  <c r="L219" i="4" l="1"/>
  <c r="M219" i="4"/>
  <c r="O219" i="4"/>
  <c r="K218" i="4"/>
  <c r="M220" i="4" l="1"/>
  <c r="O220" i="4"/>
  <c r="L220" i="4"/>
  <c r="K220" i="4" s="1"/>
  <c r="K219" i="4"/>
  <c r="M221" i="4" l="1"/>
  <c r="O221" i="4"/>
  <c r="L221" i="4"/>
  <c r="K221" i="4" s="1"/>
  <c r="M222" i="4" l="1"/>
  <c r="O222" i="4"/>
  <c r="L222" i="4"/>
  <c r="K222" i="4" s="1"/>
  <c r="M223" i="4" l="1"/>
  <c r="O223" i="4"/>
  <c r="L223" i="4"/>
  <c r="K223" i="4" s="1"/>
  <c r="M224" i="4" l="1"/>
  <c r="O224" i="4"/>
  <c r="L224" i="4"/>
  <c r="K224" i="4" s="1"/>
  <c r="M225" i="4" l="1"/>
  <c r="O225" i="4"/>
  <c r="L225" i="4"/>
  <c r="K225" i="4" s="1"/>
  <c r="L226" i="4" l="1"/>
  <c r="M226" i="4"/>
  <c r="O226" i="4"/>
  <c r="L227" i="4" l="1"/>
  <c r="M227" i="4"/>
  <c r="O227" i="4"/>
  <c r="K226" i="4"/>
  <c r="M228" i="4" l="1"/>
  <c r="O228" i="4"/>
  <c r="L228" i="4"/>
  <c r="K228" i="4" s="1"/>
  <c r="K227" i="4"/>
  <c r="M229" i="4" l="1"/>
  <c r="O229" i="4"/>
  <c r="L229" i="4"/>
  <c r="K229" i="4" s="1"/>
  <c r="M230" i="4" l="1"/>
  <c r="O230" i="4"/>
  <c r="L230" i="4"/>
  <c r="K230" i="4" s="1"/>
  <c r="L231" i="4" l="1"/>
  <c r="M231" i="4"/>
  <c r="O231" i="4"/>
  <c r="L232" i="4" l="1"/>
  <c r="M232" i="4"/>
  <c r="O232" i="4"/>
  <c r="K231" i="4"/>
  <c r="L233" i="4" l="1"/>
  <c r="M233" i="4"/>
  <c r="O233" i="4"/>
  <c r="K232" i="4"/>
  <c r="L234" i="4" l="1"/>
  <c r="M234" i="4"/>
  <c r="O234" i="4"/>
  <c r="K233" i="4"/>
  <c r="L235" i="4" l="1"/>
  <c r="M235" i="4"/>
  <c r="O235" i="4"/>
  <c r="K234" i="4"/>
  <c r="M236" i="4" l="1"/>
  <c r="O236" i="4"/>
  <c r="L236" i="4"/>
  <c r="K236" i="4" s="1"/>
  <c r="K235" i="4"/>
  <c r="M237" i="4" l="1"/>
  <c r="O237" i="4"/>
  <c r="L237" i="4"/>
  <c r="K237" i="4" s="1"/>
  <c r="M238" i="4" l="1"/>
  <c r="O238" i="4"/>
  <c r="L238" i="4"/>
  <c r="K238" i="4" s="1"/>
  <c r="M239" i="4" l="1"/>
  <c r="O239" i="4"/>
  <c r="L239" i="4"/>
  <c r="K239" i="4" s="1"/>
  <c r="M240" i="4" l="1"/>
  <c r="O240" i="4"/>
  <c r="L240" i="4"/>
  <c r="K240" i="4" s="1"/>
  <c r="M241" i="4" l="1"/>
  <c r="O241" i="4"/>
  <c r="L241" i="4"/>
  <c r="K241" i="4" s="1"/>
  <c r="L242" i="4" l="1"/>
  <c r="M242" i="4"/>
  <c r="O242" i="4" s="1"/>
  <c r="L243" i="4" l="1"/>
  <c r="M243" i="4"/>
  <c r="O243" i="4"/>
  <c r="K242" i="4"/>
  <c r="M244" i="4" l="1"/>
  <c r="O244" i="4"/>
  <c r="L244" i="4"/>
  <c r="K244" i="4" s="1"/>
  <c r="K243" i="4"/>
  <c r="M245" i="4" l="1"/>
  <c r="O245" i="4" s="1"/>
  <c r="L245" i="4"/>
  <c r="K245" i="4" s="1"/>
  <c r="M246" i="4" l="1"/>
  <c r="O246" i="4"/>
  <c r="L246" i="4"/>
  <c r="K246" i="4" s="1"/>
  <c r="L247" i="4" l="1"/>
  <c r="M247" i="4"/>
  <c r="O247" i="4"/>
  <c r="L248" i="4" l="1"/>
  <c r="M248" i="4"/>
  <c r="O248" i="4"/>
  <c r="K247" i="4"/>
  <c r="L249" i="4" l="1"/>
  <c r="M249" i="4"/>
  <c r="O249" i="4"/>
  <c r="K248" i="4"/>
  <c r="L250" i="4" l="1"/>
  <c r="M250" i="4"/>
  <c r="O250" i="4"/>
  <c r="K249" i="4"/>
  <c r="L251" i="4" l="1"/>
  <c r="M251" i="4"/>
  <c r="O251" i="4"/>
  <c r="K250" i="4"/>
  <c r="M252" i="4" l="1"/>
  <c r="O252" i="4"/>
  <c r="L252" i="4"/>
  <c r="K252" i="4" s="1"/>
  <c r="K251" i="4"/>
  <c r="M253" i="4" l="1"/>
  <c r="O253" i="4"/>
  <c r="L253" i="4"/>
  <c r="K253" i="4" s="1"/>
  <c r="M254" i="4" l="1"/>
  <c r="O254" i="4" s="1"/>
  <c r="L254" i="4"/>
  <c r="K254" i="4" l="1"/>
  <c r="M255" i="4"/>
  <c r="O255" i="4" s="1"/>
  <c r="L255" i="4"/>
  <c r="K255" i="4" s="1"/>
  <c r="M256" i="4" l="1"/>
  <c r="O256" i="4"/>
  <c r="L256" i="4"/>
  <c r="K256" i="4" s="1"/>
  <c r="M257" i="4" l="1"/>
  <c r="O257" i="4"/>
  <c r="L257" i="4"/>
  <c r="K257" i="4" s="1"/>
  <c r="L258" i="4" l="1"/>
  <c r="M258" i="4"/>
  <c r="O258" i="4"/>
  <c r="L259" i="4" l="1"/>
  <c r="M259" i="4"/>
  <c r="O259" i="4"/>
  <c r="K258" i="4"/>
  <c r="M260" i="4" l="1"/>
  <c r="O260" i="4"/>
  <c r="L260" i="4"/>
  <c r="K260" i="4" s="1"/>
  <c r="K259" i="4"/>
  <c r="M261" i="4" l="1"/>
  <c r="O261" i="4"/>
  <c r="L261" i="4"/>
  <c r="K261" i="4" s="1"/>
  <c r="M262" i="4" l="1"/>
  <c r="O262" i="4"/>
  <c r="L262" i="4"/>
  <c r="K262" i="4" s="1"/>
  <c r="L263" i="4" l="1"/>
  <c r="M263" i="4"/>
  <c r="O263" i="4"/>
  <c r="L264" i="4" l="1"/>
  <c r="M264" i="4"/>
  <c r="O264" i="4"/>
  <c r="K263" i="4"/>
  <c r="L265" i="4" l="1"/>
  <c r="M265" i="4"/>
  <c r="O265" i="4"/>
  <c r="K264" i="4"/>
  <c r="L266" i="4" l="1"/>
  <c r="M266" i="4"/>
  <c r="O266" i="4"/>
  <c r="K265" i="4"/>
  <c r="M267" i="4" l="1"/>
  <c r="O267" i="4"/>
  <c r="L267" i="4"/>
  <c r="K267" i="4" s="1"/>
  <c r="K266" i="4"/>
  <c r="M268" i="4" l="1"/>
  <c r="O268" i="4"/>
  <c r="L268" i="4"/>
  <c r="K268" i="4" s="1"/>
  <c r="M269" i="4" l="1"/>
  <c r="O269" i="4"/>
  <c r="L269" i="4"/>
  <c r="K269" i="4" s="1"/>
  <c r="M270" i="4" l="1"/>
  <c r="O270" i="4"/>
  <c r="L270" i="4"/>
  <c r="K270" i="4" s="1"/>
  <c r="M271" i="4" l="1"/>
  <c r="O271" i="4"/>
  <c r="L271" i="4"/>
  <c r="K271" i="4" s="1"/>
  <c r="M272" i="4" l="1"/>
  <c r="O272" i="4"/>
  <c r="L272" i="4"/>
  <c r="K272" i="4" s="1"/>
  <c r="M273" i="4" l="1"/>
  <c r="O273" i="4"/>
  <c r="L273" i="4"/>
  <c r="K273" i="4" s="1"/>
  <c r="L274" i="4" l="1"/>
  <c r="M274" i="4"/>
  <c r="O274" i="4"/>
  <c r="M275" i="4" l="1"/>
  <c r="O275" i="4"/>
  <c r="L275" i="4"/>
  <c r="K275" i="4" s="1"/>
  <c r="K274" i="4"/>
  <c r="M276" i="4" l="1"/>
  <c r="O276" i="4"/>
  <c r="L276" i="4"/>
  <c r="K276" i="4" s="1"/>
  <c r="M277" i="4" l="1"/>
  <c r="O277" i="4"/>
  <c r="L277" i="4"/>
  <c r="K277" i="4" s="1"/>
  <c r="M278" i="4" l="1"/>
  <c r="O278" i="4"/>
  <c r="L278" i="4"/>
  <c r="K278" i="4" s="1"/>
  <c r="L279" i="4" l="1"/>
  <c r="M279" i="4"/>
  <c r="O279" i="4"/>
  <c r="M280" i="4" l="1"/>
  <c r="O280" i="4"/>
  <c r="L280" i="4"/>
  <c r="K280" i="4" s="1"/>
  <c r="K279" i="4"/>
  <c r="L281" i="4" l="1"/>
  <c r="M281" i="4"/>
  <c r="O281" i="4"/>
  <c r="L282" i="4" l="1"/>
  <c r="M282" i="4"/>
  <c r="O282" i="4"/>
  <c r="K281" i="4"/>
  <c r="M283" i="4" l="1"/>
  <c r="O283" i="4"/>
  <c r="L283" i="4"/>
  <c r="K283" i="4" s="1"/>
  <c r="K282" i="4"/>
  <c r="M284" i="4" l="1"/>
  <c r="O284" i="4"/>
  <c r="L284" i="4"/>
  <c r="K284" i="4" s="1"/>
  <c r="M285" i="4" l="1"/>
  <c r="O285" i="4"/>
  <c r="L285" i="4"/>
  <c r="K285" i="4" s="1"/>
  <c r="M286" i="4" l="1"/>
  <c r="O286" i="4"/>
  <c r="L286" i="4"/>
  <c r="K286" i="4" s="1"/>
  <c r="M287" i="4" l="1"/>
  <c r="O287" i="4"/>
  <c r="L287" i="4"/>
  <c r="K287" i="4" s="1"/>
  <c r="M288" i="4" l="1"/>
  <c r="O288" i="4"/>
  <c r="L288" i="4"/>
  <c r="K288" i="4" s="1"/>
  <c r="M289" i="4" l="1"/>
  <c r="O289" i="4"/>
  <c r="L289" i="4"/>
  <c r="K289" i="4" s="1"/>
  <c r="M290" i="4" l="1"/>
  <c r="O290" i="4"/>
  <c r="L290" i="4"/>
  <c r="K290" i="4" s="1"/>
  <c r="M291" i="4" l="1"/>
  <c r="O291" i="4" s="1"/>
  <c r="L291" i="4"/>
  <c r="K291" i="4" l="1"/>
  <c r="M292" i="4"/>
  <c r="O292" i="4"/>
  <c r="L292" i="4"/>
  <c r="K292" i="4" s="1"/>
  <c r="M293" i="4" l="1"/>
  <c r="O293" i="4"/>
  <c r="L293" i="4"/>
  <c r="K293" i="4" s="1"/>
  <c r="M294" i="4" l="1"/>
  <c r="O294" i="4"/>
  <c r="L294" i="4"/>
  <c r="K294" i="4" s="1"/>
  <c r="M295" i="4" l="1"/>
  <c r="O295" i="4"/>
  <c r="L295" i="4"/>
  <c r="K295" i="4" s="1"/>
  <c r="M296" i="4" l="1"/>
  <c r="O296" i="4"/>
  <c r="L296" i="4"/>
  <c r="K296" i="4" s="1"/>
  <c r="M297" i="4" l="1"/>
  <c r="O297" i="4"/>
  <c r="L297" i="4"/>
  <c r="K297" i="4" s="1"/>
  <c r="L298" i="4" l="1"/>
  <c r="M298" i="4"/>
  <c r="O298" i="4"/>
  <c r="M299" i="4" l="1"/>
  <c r="O299" i="4"/>
  <c r="L299" i="4"/>
  <c r="K299" i="4" s="1"/>
  <c r="K298" i="4"/>
  <c r="M300" i="4" l="1"/>
  <c r="O300" i="4" s="1"/>
  <c r="L300" i="4"/>
  <c r="K300" i="4" s="1"/>
  <c r="M301" i="4" l="1"/>
  <c r="O301" i="4"/>
  <c r="L301" i="4"/>
  <c r="K301" i="4" s="1"/>
  <c r="M302" i="4" l="1"/>
  <c r="O302" i="4"/>
  <c r="L302" i="4"/>
  <c r="K302" i="4" s="1"/>
  <c r="M303" i="4" l="1"/>
  <c r="O303" i="4"/>
  <c r="L303" i="4"/>
  <c r="K303" i="4" s="1"/>
  <c r="M304" i="4" l="1"/>
  <c r="O304" i="4"/>
  <c r="L304" i="4"/>
  <c r="K304" i="4" s="1"/>
  <c r="M305" i="4" l="1"/>
  <c r="O305" i="4"/>
  <c r="L305" i="4"/>
  <c r="K305" i="4" s="1"/>
  <c r="M306" i="4" l="1"/>
  <c r="O306" i="4"/>
  <c r="L306" i="4"/>
  <c r="K306" i="4" s="1"/>
  <c r="M307" i="4" l="1"/>
  <c r="O307" i="4"/>
  <c r="L307" i="4"/>
  <c r="K307" i="4" s="1"/>
  <c r="M308" i="4" l="1"/>
  <c r="O308" i="4"/>
  <c r="L308" i="4"/>
  <c r="K308" i="4" s="1"/>
  <c r="M309" i="4" l="1"/>
  <c r="O309" i="4"/>
  <c r="L309" i="4"/>
  <c r="K309" i="4" s="1"/>
  <c r="M310" i="4" l="1"/>
  <c r="O310" i="4"/>
  <c r="L310" i="4"/>
  <c r="K310" i="4" s="1"/>
  <c r="M311" i="4" l="1"/>
  <c r="O311" i="4"/>
  <c r="L311" i="4"/>
  <c r="K311" i="4" s="1"/>
  <c r="M312" i="4" l="1"/>
  <c r="O312" i="4"/>
  <c r="L312" i="4"/>
  <c r="K312" i="4" s="1"/>
  <c r="M313" i="4" l="1"/>
  <c r="O313" i="4"/>
  <c r="L313" i="4"/>
  <c r="K313" i="4" s="1"/>
  <c r="M314" i="4" l="1"/>
  <c r="O314" i="4"/>
  <c r="L314" i="4"/>
  <c r="K314" i="4" s="1"/>
  <c r="M315" i="4" l="1"/>
  <c r="O315" i="4"/>
  <c r="L315" i="4"/>
  <c r="K315" i="4" s="1"/>
  <c r="M316" i="4" l="1"/>
  <c r="O316" i="4"/>
  <c r="L316" i="4"/>
  <c r="K316" i="4" s="1"/>
  <c r="M317" i="4" l="1"/>
  <c r="O317" i="4"/>
  <c r="L317" i="4"/>
  <c r="K317" i="4" s="1"/>
  <c r="M318" i="4" l="1"/>
  <c r="O318" i="4"/>
  <c r="L318" i="4"/>
  <c r="K318" i="4" s="1"/>
  <c r="M319" i="4" l="1"/>
  <c r="O319" i="4"/>
  <c r="L319" i="4"/>
  <c r="K319" i="4" s="1"/>
  <c r="M320" i="4" l="1"/>
  <c r="O320" i="4"/>
  <c r="L320" i="4"/>
  <c r="K320" i="4" s="1"/>
  <c r="M321" i="4" l="1"/>
  <c r="O321" i="4"/>
  <c r="L321" i="4"/>
  <c r="K321" i="4" s="1"/>
  <c r="M322" i="4" l="1"/>
  <c r="O322" i="4"/>
  <c r="L322" i="4"/>
  <c r="K322" i="4" s="1"/>
  <c r="M323" i="4" l="1"/>
  <c r="O323" i="4"/>
  <c r="L323" i="4"/>
  <c r="K323" i="4" s="1"/>
  <c r="M324" i="4" l="1"/>
  <c r="O324" i="4"/>
  <c r="L324" i="4"/>
  <c r="K324" i="4" s="1"/>
  <c r="M325" i="4" l="1"/>
  <c r="O325" i="4"/>
  <c r="L325" i="4"/>
  <c r="K325" i="4" s="1"/>
  <c r="M326" i="4" l="1"/>
  <c r="O326" i="4"/>
  <c r="L326" i="4"/>
  <c r="K326" i="4" s="1"/>
  <c r="M327" i="4" l="1"/>
  <c r="O327" i="4"/>
  <c r="L327" i="4"/>
  <c r="K327" i="4" s="1"/>
  <c r="M328" i="4" l="1"/>
  <c r="O328" i="4"/>
  <c r="L328" i="4"/>
  <c r="K328" i="4" s="1"/>
  <c r="M329" i="4" l="1"/>
  <c r="O329" i="4"/>
  <c r="L329" i="4"/>
  <c r="K329" i="4" s="1"/>
  <c r="M330" i="4" l="1"/>
  <c r="O330" i="4" s="1"/>
  <c r="L330" i="4"/>
  <c r="K330" i="4" s="1"/>
  <c r="M331" i="4" l="1"/>
  <c r="O331" i="4"/>
  <c r="L331" i="4"/>
  <c r="K331" i="4" s="1"/>
  <c r="M332" i="4" l="1"/>
  <c r="O332" i="4"/>
  <c r="L332" i="4"/>
  <c r="K332" i="4" s="1"/>
  <c r="M333" i="4" l="1"/>
  <c r="O333" i="4" s="1"/>
  <c r="L333" i="4"/>
  <c r="K333" i="4" l="1"/>
  <c r="M334" i="4"/>
  <c r="O334" i="4"/>
  <c r="L334" i="4"/>
  <c r="K334" i="4" s="1"/>
  <c r="M335" i="4" l="1"/>
  <c r="O335" i="4"/>
  <c r="L335" i="4"/>
  <c r="K335" i="4" s="1"/>
  <c r="M336" i="4" l="1"/>
  <c r="O336" i="4"/>
  <c r="L336" i="4"/>
  <c r="K336" i="4" s="1"/>
  <c r="M337" i="4" l="1"/>
  <c r="O337" i="4"/>
  <c r="L337" i="4"/>
  <c r="K337" i="4" s="1"/>
  <c r="M338" i="4" l="1"/>
  <c r="O338" i="4"/>
  <c r="L338" i="4"/>
  <c r="K338" i="4" s="1"/>
  <c r="M339" i="4" l="1"/>
  <c r="O339" i="4"/>
  <c r="L339" i="4"/>
  <c r="K339" i="4" s="1"/>
  <c r="M340" i="4" l="1"/>
  <c r="O340" i="4"/>
  <c r="L340" i="4"/>
  <c r="K340" i="4" s="1"/>
  <c r="M341" i="4" l="1"/>
  <c r="O341" i="4"/>
  <c r="L341" i="4"/>
  <c r="K341" i="4" s="1"/>
  <c r="M342" i="4" l="1"/>
  <c r="O342" i="4"/>
  <c r="L342" i="4"/>
  <c r="K342" i="4" s="1"/>
  <c r="M343" i="4" l="1"/>
  <c r="O343" i="4"/>
  <c r="L343" i="4"/>
  <c r="K343" i="4" s="1"/>
  <c r="M344" i="4" l="1"/>
  <c r="O344" i="4"/>
  <c r="L344" i="4"/>
  <c r="K344" i="4" s="1"/>
  <c r="M345" i="4" l="1"/>
  <c r="O345" i="4"/>
  <c r="L345" i="4"/>
  <c r="K345" i="4" s="1"/>
  <c r="M346" i="4" l="1"/>
  <c r="O346" i="4"/>
  <c r="L346" i="4"/>
  <c r="K346" i="4" s="1"/>
  <c r="M347" i="4" l="1"/>
  <c r="O347" i="4"/>
  <c r="L347" i="4"/>
  <c r="K347" i="4" s="1"/>
  <c r="M348" i="4" l="1"/>
  <c r="O348" i="4"/>
  <c r="L348" i="4"/>
  <c r="K348" i="4" s="1"/>
  <c r="M349" i="4" l="1"/>
  <c r="O349" i="4"/>
  <c r="L349" i="4"/>
  <c r="K349" i="4" s="1"/>
  <c r="M350" i="4" l="1"/>
  <c r="O350" i="4"/>
  <c r="L350" i="4"/>
  <c r="K350" i="4" s="1"/>
  <c r="M351" i="4" l="1"/>
  <c r="O351" i="4"/>
  <c r="L351" i="4"/>
  <c r="K351" i="4" s="1"/>
  <c r="M352" i="4" l="1"/>
  <c r="O352" i="4"/>
  <c r="L352" i="4"/>
  <c r="K352" i="4" s="1"/>
  <c r="M353" i="4" l="1"/>
  <c r="O353" i="4"/>
  <c r="L353" i="4"/>
  <c r="K353" i="4" s="1"/>
  <c r="M354" i="4" l="1"/>
  <c r="O354" i="4"/>
  <c r="L354" i="4"/>
  <c r="K354" i="4" s="1"/>
  <c r="M355" i="4" l="1"/>
  <c r="O355" i="4"/>
  <c r="L355" i="4"/>
  <c r="K355" i="4" s="1"/>
  <c r="M356" i="4" l="1"/>
  <c r="O356" i="4"/>
  <c r="L356" i="4"/>
  <c r="K356" i="4" s="1"/>
  <c r="M357" i="4" l="1"/>
  <c r="O357" i="4"/>
  <c r="L357" i="4"/>
  <c r="K357" i="4" s="1"/>
  <c r="M358" i="4" l="1"/>
  <c r="O358" i="4" s="1"/>
  <c r="L358" i="4"/>
  <c r="K358" i="4" l="1"/>
  <c r="M359" i="4"/>
  <c r="O359" i="4"/>
  <c r="L359" i="4"/>
  <c r="K359" i="4" s="1"/>
  <c r="M360" i="4" l="1"/>
  <c r="O360" i="4"/>
  <c r="L360" i="4"/>
  <c r="K360" i="4" s="1"/>
  <c r="M361" i="4" l="1"/>
  <c r="O361" i="4"/>
  <c r="L361" i="4"/>
  <c r="K361" i="4" s="1"/>
  <c r="M362" i="4" l="1"/>
  <c r="O362" i="4"/>
  <c r="L362" i="4"/>
  <c r="K362" i="4" s="1"/>
  <c r="M363" i="4" l="1"/>
  <c r="O363" i="4" s="1"/>
  <c r="L363" i="4"/>
  <c r="K363" i="4" l="1"/>
  <c r="M364" i="4"/>
  <c r="O364" i="4"/>
  <c r="L364" i="4"/>
  <c r="K364" i="4" s="1"/>
  <c r="M365" i="4" l="1"/>
  <c r="O365" i="4"/>
  <c r="L365" i="4"/>
  <c r="K365" i="4" s="1"/>
  <c r="M366" i="4" l="1"/>
  <c r="O366" i="4"/>
  <c r="L366" i="4"/>
  <c r="K366" i="4" s="1"/>
  <c r="M367" i="4" l="1"/>
  <c r="O367" i="4"/>
  <c r="L367" i="4"/>
  <c r="K367" i="4" s="1"/>
  <c r="M368" i="4" l="1"/>
  <c r="O368" i="4"/>
  <c r="L368" i="4"/>
  <c r="K368" i="4" s="1"/>
  <c r="M369" i="4" l="1"/>
  <c r="O369" i="4"/>
  <c r="L369" i="4"/>
  <c r="K369" i="4" s="1"/>
  <c r="M370" i="4" l="1"/>
  <c r="O370" i="4"/>
  <c r="L370" i="4"/>
  <c r="K370" i="4" s="1"/>
  <c r="M371" i="4" l="1"/>
  <c r="O371" i="4"/>
  <c r="L371" i="4"/>
  <c r="K371" i="4" s="1"/>
  <c r="M372" i="4" l="1"/>
  <c r="O372" i="4"/>
  <c r="L372" i="4"/>
  <c r="K372" i="4" s="1"/>
  <c r="M373" i="4" l="1"/>
  <c r="O373" i="4"/>
  <c r="L373" i="4"/>
  <c r="K373" i="4" s="1"/>
  <c r="M374" i="4" l="1"/>
  <c r="O374" i="4"/>
  <c r="L374" i="4"/>
  <c r="K374" i="4" s="1"/>
  <c r="M375" i="4" l="1"/>
  <c r="O375" i="4"/>
  <c r="L375" i="4"/>
  <c r="K375" i="4" s="1"/>
  <c r="M376" i="4" l="1"/>
  <c r="O376" i="4"/>
  <c r="L376" i="4"/>
  <c r="K376" i="4" s="1"/>
  <c r="M377" i="4" l="1"/>
  <c r="O377" i="4"/>
  <c r="L377" i="4"/>
  <c r="K377" i="4" s="1"/>
  <c r="M378" i="4" l="1"/>
  <c r="O378" i="4"/>
  <c r="L378" i="4"/>
  <c r="K378" i="4" s="1"/>
  <c r="M379" i="4" l="1"/>
  <c r="O379" i="4"/>
  <c r="L379" i="4"/>
  <c r="K379" i="4" s="1"/>
  <c r="M380" i="4" l="1"/>
  <c r="O380" i="4"/>
  <c r="L380" i="4"/>
  <c r="K380" i="4" s="1"/>
  <c r="M381" i="4" l="1"/>
  <c r="O381" i="4"/>
  <c r="L381" i="4"/>
  <c r="K381" i="4" s="1"/>
  <c r="M382" i="4" l="1"/>
  <c r="O382" i="4"/>
  <c r="L382" i="4"/>
  <c r="K382" i="4" s="1"/>
  <c r="M383" i="4" l="1"/>
  <c r="O383" i="4"/>
  <c r="L383" i="4"/>
  <c r="K383" i="4" s="1"/>
  <c r="M384" i="4" l="1"/>
  <c r="O384" i="4"/>
  <c r="L384" i="4"/>
  <c r="K384" i="4" s="1"/>
  <c r="M385" i="4" l="1"/>
  <c r="O385" i="4"/>
  <c r="L385" i="4"/>
  <c r="K385" i="4" s="1"/>
  <c r="M386" i="4" l="1"/>
  <c r="O386" i="4"/>
  <c r="L386" i="4"/>
  <c r="K386" i="4" s="1"/>
  <c r="M387" i="4" l="1"/>
  <c r="O387" i="4"/>
  <c r="L387" i="4"/>
  <c r="K387" i="4" s="1"/>
  <c r="M388" i="4" l="1"/>
  <c r="O388" i="4"/>
  <c r="L388" i="4"/>
  <c r="K388" i="4" s="1"/>
  <c r="M389" i="4" l="1"/>
  <c r="O389" i="4" s="1"/>
  <c r="L389" i="4"/>
  <c r="K389" i="4" l="1"/>
  <c r="M390" i="4"/>
  <c r="O390" i="4"/>
  <c r="L390" i="4"/>
  <c r="K390" i="4" s="1"/>
  <c r="M391" i="4" l="1"/>
  <c r="O391" i="4"/>
  <c r="L391" i="4"/>
  <c r="K391" i="4" s="1"/>
  <c r="M392" i="4" l="1"/>
  <c r="O392" i="4"/>
  <c r="L392" i="4"/>
  <c r="K392" i="4" s="1"/>
  <c r="M393" i="4" l="1"/>
  <c r="O393" i="4"/>
  <c r="L393" i="4"/>
  <c r="K393" i="4" s="1"/>
  <c r="M394" i="4" l="1"/>
  <c r="O394" i="4"/>
  <c r="L394" i="4"/>
  <c r="K394" i="4" s="1"/>
  <c r="M395" i="4" l="1"/>
  <c r="O395" i="4"/>
  <c r="L395" i="4"/>
  <c r="K395" i="4" s="1"/>
  <c r="M396" i="4" l="1"/>
  <c r="O396" i="4"/>
  <c r="L396" i="4"/>
  <c r="K396" i="4" s="1"/>
  <c r="M397" i="4" l="1"/>
  <c r="O397" i="4"/>
  <c r="L397" i="4"/>
  <c r="K397" i="4" s="1"/>
  <c r="M398" i="4" l="1"/>
  <c r="O398" i="4"/>
  <c r="L398" i="4"/>
  <c r="K398" i="4" s="1"/>
  <c r="M399" i="4" l="1"/>
  <c r="O399" i="4"/>
  <c r="L399" i="4"/>
  <c r="K399" i="4" s="1"/>
  <c r="M400" i="4" l="1"/>
  <c r="O400" i="4"/>
  <c r="L400" i="4"/>
  <c r="K400" i="4" s="1"/>
  <c r="M401" i="4" l="1"/>
  <c r="O401" i="4"/>
  <c r="L401" i="4"/>
  <c r="K401" i="4" s="1"/>
  <c r="M402" i="4" l="1"/>
  <c r="O402" i="4"/>
  <c r="L402" i="4"/>
  <c r="K402" i="4" s="1"/>
  <c r="M403" i="4" l="1"/>
  <c r="O403" i="4"/>
  <c r="L403" i="4"/>
  <c r="K403" i="4" s="1"/>
  <c r="M404" i="4" l="1"/>
  <c r="O404" i="4"/>
  <c r="L404" i="4"/>
  <c r="K404" i="4" s="1"/>
  <c r="M405" i="4" l="1"/>
  <c r="O405" i="4"/>
  <c r="L405" i="4"/>
  <c r="K405" i="4" s="1"/>
  <c r="M406" i="4" l="1"/>
  <c r="O406" i="4"/>
  <c r="L406" i="4"/>
  <c r="K406" i="4" s="1"/>
  <c r="M407" i="4" l="1"/>
  <c r="O407" i="4"/>
  <c r="L407" i="4"/>
  <c r="K407" i="4" s="1"/>
  <c r="M408" i="4" l="1"/>
  <c r="O408" i="4"/>
  <c r="L408" i="4"/>
  <c r="K408" i="4" s="1"/>
  <c r="M409" i="4" l="1"/>
  <c r="O409" i="4"/>
  <c r="L409" i="4"/>
  <c r="K409" i="4" s="1"/>
  <c r="M410" i="4" l="1"/>
  <c r="O410" i="4"/>
  <c r="L410" i="4"/>
  <c r="K410" i="4" s="1"/>
  <c r="M411" i="4" l="1"/>
  <c r="O411" i="4"/>
  <c r="L411" i="4"/>
  <c r="K411" i="4" s="1"/>
  <c r="M412" i="4" l="1"/>
  <c r="O412" i="4"/>
  <c r="L412" i="4"/>
  <c r="K412" i="4" s="1"/>
  <c r="M413" i="4" l="1"/>
  <c r="O413" i="4"/>
  <c r="L413" i="4"/>
  <c r="K413" i="4" s="1"/>
  <c r="M414" i="4" l="1"/>
  <c r="O414" i="4"/>
  <c r="L414" i="4"/>
  <c r="K414" i="4" s="1"/>
  <c r="M415" i="4" l="1"/>
  <c r="O415" i="4"/>
  <c r="L415" i="4"/>
  <c r="K415" i="4" s="1"/>
  <c r="M416" i="4" l="1"/>
  <c r="O416" i="4"/>
  <c r="L416" i="4"/>
  <c r="K416" i="4" s="1"/>
  <c r="M417" i="4" l="1"/>
  <c r="O417" i="4"/>
  <c r="L417" i="4"/>
  <c r="K417" i="4" s="1"/>
  <c r="M418" i="4" l="1"/>
  <c r="O418" i="4"/>
  <c r="L418" i="4"/>
  <c r="K418" i="4" s="1"/>
  <c r="M419" i="4" l="1"/>
  <c r="O419" i="4"/>
  <c r="L419" i="4"/>
  <c r="K419" i="4" s="1"/>
  <c r="M420" i="4" l="1"/>
  <c r="O420" i="4"/>
  <c r="L420" i="4"/>
  <c r="K420" i="4" s="1"/>
  <c r="M421" i="4" l="1"/>
  <c r="O421" i="4"/>
  <c r="L421" i="4"/>
  <c r="K421" i="4" s="1"/>
  <c r="M422" i="4" l="1"/>
  <c r="O422" i="4"/>
  <c r="L422" i="4"/>
  <c r="K422" i="4" s="1"/>
  <c r="M423" i="4" l="1"/>
  <c r="O423" i="4"/>
  <c r="L423" i="4"/>
  <c r="K423" i="4" s="1"/>
  <c r="M424" i="4" l="1"/>
  <c r="O424" i="4"/>
  <c r="L424" i="4"/>
  <c r="K424" i="4" s="1"/>
  <c r="M425" i="4" l="1"/>
  <c r="O425" i="4"/>
  <c r="L425" i="4"/>
  <c r="K425" i="4" s="1"/>
  <c r="M426" i="4" l="1"/>
  <c r="O426" i="4" s="1"/>
  <c r="L426" i="4"/>
  <c r="K426" i="4" l="1"/>
  <c r="M427" i="4"/>
  <c r="O427" i="4"/>
  <c r="L427" i="4"/>
  <c r="K427" i="4" s="1"/>
  <c r="M428" i="4" l="1"/>
  <c r="O428" i="4"/>
  <c r="L428" i="4"/>
  <c r="K428" i="4" s="1"/>
  <c r="M429" i="4" l="1"/>
  <c r="O429" i="4"/>
  <c r="L429" i="4"/>
  <c r="K429" i="4" s="1"/>
  <c r="M430" i="4" l="1"/>
  <c r="O430" i="4"/>
  <c r="L430" i="4"/>
  <c r="K430" i="4" s="1"/>
  <c r="M431" i="4" l="1"/>
  <c r="O431" i="4"/>
  <c r="L431" i="4"/>
  <c r="K431" i="4" s="1"/>
  <c r="M432" i="4" l="1"/>
  <c r="O432" i="4"/>
  <c r="L432" i="4"/>
  <c r="K432" i="4" s="1"/>
  <c r="M433" i="4" l="1"/>
  <c r="O433" i="4"/>
  <c r="L433" i="4"/>
  <c r="K433" i="4" s="1"/>
  <c r="M434" i="4" l="1"/>
  <c r="O434" i="4" s="1"/>
  <c r="L434" i="4"/>
  <c r="K434" i="4" l="1"/>
  <c r="M435" i="4"/>
  <c r="O435" i="4" s="1"/>
  <c r="L435" i="4"/>
  <c r="K435" i="4" s="1"/>
  <c r="M436" i="4" l="1"/>
  <c r="O436" i="4"/>
  <c r="L436" i="4"/>
  <c r="K436" i="4" s="1"/>
  <c r="M437" i="4" l="1"/>
  <c r="O437" i="4"/>
  <c r="L437" i="4"/>
  <c r="K437" i="4" s="1"/>
  <c r="M438" i="4" l="1"/>
  <c r="O438" i="4" s="1"/>
  <c r="L438" i="4"/>
  <c r="K438" i="4" s="1"/>
  <c r="M439" i="4" l="1"/>
  <c r="O439" i="4" s="1"/>
  <c r="L439" i="4"/>
  <c r="K439" i="4" s="1"/>
  <c r="M440" i="4" l="1"/>
  <c r="O440" i="4" s="1"/>
  <c r="L440" i="4"/>
  <c r="K440" i="4" l="1"/>
  <c r="M441" i="4"/>
  <c r="O441" i="4"/>
  <c r="L441" i="4"/>
  <c r="K441" i="4" s="1"/>
  <c r="M442" i="4" l="1"/>
  <c r="O442" i="4"/>
  <c r="L442" i="4"/>
  <c r="K442" i="4" s="1"/>
  <c r="M443" i="4" l="1"/>
  <c r="O443" i="4"/>
  <c r="L443" i="4"/>
  <c r="K443" i="4" s="1"/>
  <c r="M444" i="4" l="1"/>
  <c r="O444" i="4"/>
  <c r="L444" i="4"/>
  <c r="K444" i="4" s="1"/>
  <c r="M445" i="4" l="1"/>
  <c r="O445" i="4"/>
  <c r="L445" i="4"/>
  <c r="K445" i="4" s="1"/>
  <c r="M446" i="4" l="1"/>
  <c r="O446" i="4"/>
  <c r="L446" i="4"/>
  <c r="K446" i="4" s="1"/>
  <c r="M447" i="4" l="1"/>
  <c r="O447" i="4"/>
  <c r="L447" i="4"/>
  <c r="K447" i="4" s="1"/>
  <c r="M448" i="4" l="1"/>
  <c r="O448" i="4"/>
  <c r="L448" i="4"/>
  <c r="K448" i="4" s="1"/>
  <c r="M449" i="4" l="1"/>
  <c r="O449" i="4"/>
  <c r="L449" i="4"/>
  <c r="K449" i="4" s="1"/>
  <c r="M450" i="4" l="1"/>
  <c r="O450" i="4"/>
  <c r="L450" i="4"/>
  <c r="K450" i="4" s="1"/>
  <c r="M451" i="4" l="1"/>
  <c r="O451" i="4"/>
  <c r="L451" i="4"/>
  <c r="K451" i="4" s="1"/>
  <c r="M452" i="4" l="1"/>
  <c r="O452" i="4"/>
  <c r="L452" i="4"/>
  <c r="K452" i="4" s="1"/>
  <c r="M453" i="4" l="1"/>
  <c r="O453" i="4"/>
  <c r="L453" i="4"/>
  <c r="K453" i="4" s="1"/>
  <c r="M454" i="4" l="1"/>
  <c r="O454" i="4"/>
  <c r="L454" i="4"/>
  <c r="K454" i="4" s="1"/>
  <c r="M455" i="4" l="1"/>
  <c r="O455" i="4"/>
  <c r="L455" i="4"/>
  <c r="K455" i="4" s="1"/>
  <c r="M456" i="4" l="1"/>
  <c r="O456" i="4"/>
  <c r="L456" i="4"/>
  <c r="K456" i="4" s="1"/>
  <c r="M457" i="4" l="1"/>
  <c r="O457" i="4"/>
  <c r="L457" i="4"/>
  <c r="K457" i="4" s="1"/>
  <c r="M458" i="4" l="1"/>
  <c r="O458" i="4"/>
  <c r="L458" i="4"/>
  <c r="K458" i="4" s="1"/>
  <c r="M459" i="4" l="1"/>
  <c r="O459" i="4"/>
  <c r="L459" i="4"/>
  <c r="K459" i="4" s="1"/>
  <c r="M460" i="4" l="1"/>
  <c r="O460" i="4"/>
  <c r="L460" i="4"/>
  <c r="K460" i="4" s="1"/>
  <c r="M461" i="4" l="1"/>
  <c r="O461" i="4"/>
  <c r="L461" i="4"/>
  <c r="K461" i="4" s="1"/>
  <c r="M462" i="4" l="1"/>
  <c r="O462" i="4"/>
  <c r="L462" i="4"/>
  <c r="K462" i="4" s="1"/>
  <c r="M463" i="4" l="1"/>
  <c r="O463" i="4" s="1"/>
  <c r="L463" i="4"/>
  <c r="K463" i="4" s="1"/>
  <c r="M464" i="4" l="1"/>
  <c r="O464" i="4"/>
  <c r="L464" i="4"/>
  <c r="K464" i="4" s="1"/>
  <c r="M465" i="4" l="1"/>
  <c r="O465" i="4"/>
  <c r="L465" i="4"/>
  <c r="K465" i="4" s="1"/>
  <c r="M466" i="4" l="1"/>
  <c r="O466" i="4"/>
  <c r="L466" i="4"/>
  <c r="K466" i="4" s="1"/>
  <c r="M467" i="4" l="1"/>
  <c r="O467" i="4"/>
  <c r="L467" i="4"/>
  <c r="K467" i="4" s="1"/>
  <c r="M468" i="4" l="1"/>
  <c r="O468" i="4"/>
  <c r="L468" i="4"/>
  <c r="K468" i="4" s="1"/>
  <c r="M469" i="4" l="1"/>
  <c r="O469" i="4"/>
  <c r="L469" i="4"/>
  <c r="K469" i="4" s="1"/>
  <c r="M470" i="4" l="1"/>
  <c r="O470" i="4"/>
  <c r="L470" i="4"/>
  <c r="K470" i="4" s="1"/>
  <c r="M471" i="4" l="1"/>
  <c r="O471" i="4"/>
  <c r="L471" i="4"/>
  <c r="K471" i="4" s="1"/>
  <c r="M472" i="4" l="1"/>
  <c r="O472" i="4"/>
  <c r="L472" i="4"/>
  <c r="K472" i="4" s="1"/>
  <c r="M473" i="4" l="1"/>
  <c r="O473" i="4"/>
  <c r="L473" i="4"/>
  <c r="K473" i="4" s="1"/>
  <c r="M474" i="4" l="1"/>
  <c r="O474" i="4"/>
  <c r="L474" i="4"/>
  <c r="K474" i="4" s="1"/>
  <c r="M475" i="4" l="1"/>
  <c r="O475" i="4"/>
  <c r="L475" i="4"/>
  <c r="K475" i="4" s="1"/>
  <c r="M476" i="4" l="1"/>
  <c r="O476" i="4"/>
  <c r="L476" i="4"/>
  <c r="K476" i="4" s="1"/>
  <c r="M477" i="4" l="1"/>
  <c r="O477" i="4" s="1"/>
  <c r="L477" i="4"/>
  <c r="K477" i="4" l="1"/>
  <c r="M478" i="4"/>
  <c r="O478" i="4"/>
  <c r="L478" i="4"/>
  <c r="K478" i="4" s="1"/>
  <c r="M479" i="4" l="1"/>
  <c r="O479" i="4"/>
  <c r="L479" i="4"/>
  <c r="K479" i="4" s="1"/>
  <c r="M480" i="4" l="1"/>
  <c r="O480" i="4"/>
  <c r="L480" i="4"/>
  <c r="K480" i="4" s="1"/>
  <c r="M481" i="4" l="1"/>
  <c r="O481" i="4"/>
  <c r="L481" i="4"/>
  <c r="K481" i="4" s="1"/>
  <c r="M482" i="4" l="1"/>
  <c r="O482" i="4"/>
  <c r="L482" i="4"/>
  <c r="K482" i="4" s="1"/>
  <c r="M483" i="4" l="1"/>
  <c r="O483" i="4"/>
  <c r="L483" i="4"/>
  <c r="K483" i="4" s="1"/>
  <c r="M484" i="4" l="1"/>
  <c r="O484" i="4"/>
  <c r="L484" i="4"/>
  <c r="K484" i="4" s="1"/>
  <c r="M485" i="4" l="1"/>
  <c r="O485" i="4"/>
  <c r="L485" i="4"/>
  <c r="K485" i="4" s="1"/>
  <c r="M486" i="4" l="1"/>
  <c r="O486" i="4"/>
  <c r="L486" i="4"/>
  <c r="K486" i="4" s="1"/>
  <c r="M487" i="4" l="1"/>
  <c r="O487" i="4"/>
  <c r="L487" i="4"/>
  <c r="K487" i="4" s="1"/>
  <c r="M488" i="4" l="1"/>
  <c r="O488" i="4"/>
  <c r="L488" i="4"/>
  <c r="K488" i="4" s="1"/>
  <c r="M489" i="4" l="1"/>
  <c r="O489" i="4"/>
  <c r="L489" i="4"/>
  <c r="K489" i="4" s="1"/>
  <c r="M490" i="4" l="1"/>
  <c r="O490" i="4"/>
  <c r="L490" i="4"/>
  <c r="K490" i="4" s="1"/>
  <c r="M491" i="4" l="1"/>
  <c r="O491" i="4"/>
  <c r="L491" i="4"/>
  <c r="K491" i="4" s="1"/>
  <c r="M492" i="4" l="1"/>
  <c r="O492" i="4"/>
  <c r="L492" i="4"/>
  <c r="K492" i="4" s="1"/>
  <c r="M493" i="4" l="1"/>
  <c r="O493" i="4"/>
  <c r="L493" i="4"/>
  <c r="K493" i="4" s="1"/>
  <c r="M494" i="4" l="1"/>
  <c r="O494" i="4"/>
  <c r="L494" i="4"/>
  <c r="K494" i="4" s="1"/>
  <c r="M495" i="4" l="1"/>
  <c r="O495" i="4"/>
  <c r="L495" i="4"/>
  <c r="K495" i="4" s="1"/>
  <c r="M496" i="4" l="1"/>
  <c r="O496" i="4"/>
  <c r="L496" i="4"/>
  <c r="K496" i="4" s="1"/>
  <c r="M497" i="4" l="1"/>
  <c r="O497" i="4"/>
  <c r="L497" i="4"/>
  <c r="K497" i="4" s="1"/>
  <c r="M498" i="4" l="1"/>
  <c r="O498" i="4"/>
  <c r="L498" i="4"/>
  <c r="K498" i="4" s="1"/>
  <c r="M499" i="4" l="1"/>
  <c r="O499" i="4"/>
  <c r="L499" i="4"/>
  <c r="K499" i="4" s="1"/>
  <c r="M500" i="4" l="1"/>
  <c r="O500" i="4" s="1"/>
  <c r="L500" i="4"/>
  <c r="K500" i="4" l="1"/>
  <c r="M501" i="4"/>
  <c r="O501" i="4"/>
  <c r="L501" i="4"/>
  <c r="K501" i="4" s="1"/>
  <c r="M502" i="4" l="1"/>
  <c r="O502" i="4" s="1"/>
  <c r="L502" i="4"/>
  <c r="K502" i="4" s="1"/>
  <c r="M503" i="4" l="1"/>
  <c r="O503" i="4"/>
  <c r="L503" i="4"/>
  <c r="K503" i="4" s="1"/>
  <c r="M504" i="4" l="1"/>
  <c r="O504" i="4"/>
  <c r="L504" i="4"/>
  <c r="K504" i="4" s="1"/>
  <c r="M505" i="4" l="1"/>
  <c r="O505" i="4"/>
  <c r="L505" i="4"/>
  <c r="K505" i="4" s="1"/>
  <c r="M506" i="4" l="1"/>
  <c r="O506" i="4"/>
  <c r="L506" i="4"/>
  <c r="K506" i="4" s="1"/>
  <c r="L507" i="4" l="1"/>
  <c r="M507" i="4"/>
  <c r="O507" i="4" s="1"/>
  <c r="M508" i="4" l="1"/>
  <c r="O508" i="4"/>
  <c r="L508" i="4"/>
  <c r="K508" i="4" s="1"/>
  <c r="K507" i="4"/>
  <c r="M509" i="4" l="1"/>
  <c r="O509" i="4" s="1"/>
  <c r="L509" i="4"/>
  <c r="K509" i="4" s="1"/>
  <c r="M510" i="4" l="1"/>
  <c r="O510" i="4"/>
  <c r="L510" i="4"/>
  <c r="K510" i="4" s="1"/>
  <c r="M511" i="4" l="1"/>
  <c r="O511" i="4"/>
  <c r="L511" i="4"/>
  <c r="K511" i="4" s="1"/>
  <c r="M512" i="4" l="1"/>
  <c r="O512" i="4"/>
  <c r="L512" i="4"/>
  <c r="K512" i="4" s="1"/>
  <c r="M513" i="4" l="1"/>
  <c r="O513" i="4"/>
  <c r="L513" i="4"/>
  <c r="K513" i="4" s="1"/>
  <c r="M514" i="4" l="1"/>
  <c r="O514" i="4"/>
  <c r="L514" i="4"/>
  <c r="K514" i="4" s="1"/>
  <c r="M515" i="4" l="1"/>
  <c r="O515" i="4" s="1"/>
  <c r="L515" i="4"/>
  <c r="K515" i="4" s="1"/>
  <c r="M516" i="4" l="1"/>
  <c r="O516" i="4"/>
  <c r="L516" i="4"/>
  <c r="K516" i="4" s="1"/>
  <c r="M517" i="4" l="1"/>
  <c r="O517" i="4"/>
  <c r="L517" i="4"/>
  <c r="K517" i="4" s="1"/>
  <c r="M518" i="4" l="1"/>
  <c r="O518" i="4"/>
  <c r="L518" i="4"/>
  <c r="K518" i="4" s="1"/>
  <c r="M519" i="4" l="1"/>
  <c r="O519" i="4"/>
  <c r="L519" i="4"/>
  <c r="K519" i="4" s="1"/>
  <c r="M520" i="4" l="1"/>
  <c r="O520" i="4"/>
  <c r="L520" i="4"/>
  <c r="K520" i="4" s="1"/>
  <c r="M521" i="4" l="1"/>
  <c r="O521" i="4"/>
  <c r="L521" i="4"/>
  <c r="K521" i="4" s="1"/>
  <c r="M522" i="4" l="1"/>
  <c r="O522" i="4"/>
  <c r="L522" i="4"/>
  <c r="K522" i="4" s="1"/>
  <c r="L523" i="4" l="1"/>
  <c r="M523" i="4"/>
  <c r="O523" i="4" s="1"/>
  <c r="M524" i="4" l="1"/>
  <c r="O524" i="4"/>
  <c r="L524" i="4"/>
  <c r="K524" i="4" s="1"/>
  <c r="K523" i="4"/>
  <c r="M525" i="4" l="1"/>
  <c r="O525" i="4"/>
  <c r="L525" i="4"/>
  <c r="K525" i="4" s="1"/>
  <c r="M526" i="4" l="1"/>
  <c r="O526" i="4"/>
  <c r="L526" i="4"/>
  <c r="K526" i="4" s="1"/>
  <c r="M527" i="4" l="1"/>
  <c r="O527" i="4"/>
  <c r="L527" i="4"/>
  <c r="K527" i="4" s="1"/>
  <c r="M528" i="4" l="1"/>
  <c r="O528" i="4"/>
  <c r="L528" i="4"/>
  <c r="K528" i="4" s="1"/>
  <c r="M529" i="4" l="1"/>
  <c r="O529" i="4"/>
  <c r="L529" i="4"/>
  <c r="K529" i="4" s="1"/>
  <c r="M530" i="4" l="1"/>
  <c r="O530" i="4"/>
  <c r="L530" i="4"/>
  <c r="K530" i="4" s="1"/>
  <c r="L531" i="4" l="1"/>
  <c r="M531" i="4"/>
  <c r="O531" i="4" s="1"/>
  <c r="M532" i="4" l="1"/>
  <c r="O532" i="4"/>
  <c r="L532" i="4"/>
  <c r="K532" i="4" s="1"/>
  <c r="K531" i="4"/>
  <c r="M533" i="4" l="1"/>
  <c r="O533" i="4"/>
  <c r="L533" i="4"/>
  <c r="K533" i="4" s="1"/>
  <c r="M534" i="4" l="1"/>
  <c r="O534" i="4"/>
  <c r="L534" i="4"/>
  <c r="K534" i="4" s="1"/>
  <c r="M535" i="4" l="1"/>
  <c r="O535" i="4"/>
  <c r="L535" i="4"/>
  <c r="K535" i="4" s="1"/>
  <c r="M536" i="4" l="1"/>
  <c r="O536" i="4"/>
  <c r="L536" i="4"/>
  <c r="K536" i="4" s="1"/>
  <c r="M537" i="4" l="1"/>
  <c r="O537" i="4"/>
  <c r="L537" i="4"/>
  <c r="K537" i="4" s="1"/>
  <c r="M538" i="4" l="1"/>
  <c r="O538" i="4"/>
  <c r="L538" i="4"/>
  <c r="K538" i="4" s="1"/>
  <c r="L539" i="4" l="1"/>
  <c r="M539" i="4"/>
  <c r="O539" i="4" s="1"/>
  <c r="M540" i="4" l="1"/>
  <c r="O540" i="4"/>
  <c r="L540" i="4"/>
  <c r="K540" i="4" s="1"/>
  <c r="K539" i="4"/>
  <c r="M541" i="4" l="1"/>
  <c r="O541" i="4" s="1"/>
  <c r="L541" i="4"/>
  <c r="K541" i="4" l="1"/>
  <c r="M542" i="4"/>
  <c r="O542" i="4"/>
  <c r="L542" i="4"/>
  <c r="K542" i="4" s="1"/>
  <c r="M543" i="4" l="1"/>
  <c r="O543" i="4"/>
  <c r="L543" i="4"/>
  <c r="K543" i="4" s="1"/>
  <c r="M544" i="4" l="1"/>
  <c r="O544" i="4"/>
  <c r="L544" i="4"/>
  <c r="K544" i="4" s="1"/>
  <c r="M545" i="4" l="1"/>
  <c r="O545" i="4" s="1"/>
  <c r="L545" i="4"/>
  <c r="K545" i="4" l="1"/>
  <c r="M546" i="4"/>
  <c r="O546" i="4"/>
  <c r="L546" i="4"/>
  <c r="K546" i="4" s="1"/>
  <c r="L547" i="4" l="1"/>
  <c r="M547" i="4"/>
  <c r="O547" i="4" s="1"/>
  <c r="M548" i="4" l="1"/>
  <c r="O548" i="4"/>
  <c r="L548" i="4"/>
  <c r="K548" i="4" s="1"/>
  <c r="K547" i="4"/>
  <c r="M549" i="4" l="1"/>
  <c r="O549" i="4"/>
  <c r="L549" i="4"/>
  <c r="K549" i="4" s="1"/>
  <c r="M550" i="4" l="1"/>
  <c r="O550" i="4"/>
  <c r="L550" i="4"/>
  <c r="K550" i="4" s="1"/>
  <c r="M551" i="4" l="1"/>
  <c r="O551" i="4"/>
  <c r="L551" i="4"/>
  <c r="K551" i="4" s="1"/>
  <c r="M552" i="4" l="1"/>
  <c r="O552" i="4"/>
  <c r="L552" i="4"/>
  <c r="K552" i="4" s="1"/>
  <c r="M553" i="4" l="1"/>
  <c r="O553" i="4"/>
  <c r="L553" i="4"/>
  <c r="K553" i="4" s="1"/>
  <c r="M554" i="4" l="1"/>
  <c r="O554" i="4"/>
  <c r="L554" i="4"/>
  <c r="K554" i="4" s="1"/>
  <c r="M555" i="4" l="1"/>
  <c r="O555" i="4" s="1"/>
  <c r="L555" i="4"/>
  <c r="K555" i="4" s="1"/>
  <c r="M556" i="4" l="1"/>
  <c r="O556" i="4"/>
  <c r="L556" i="4"/>
  <c r="K556" i="4" s="1"/>
  <c r="M557" i="4" l="1"/>
  <c r="O557" i="4"/>
  <c r="L557" i="4"/>
  <c r="K557" i="4" s="1"/>
  <c r="M558" i="4" l="1"/>
  <c r="O558" i="4"/>
  <c r="L558" i="4"/>
  <c r="K558" i="4" s="1"/>
  <c r="M559" i="4" l="1"/>
  <c r="O559" i="4"/>
  <c r="L559" i="4"/>
  <c r="K559" i="4" s="1"/>
  <c r="M560" i="4" l="1"/>
  <c r="O560" i="4"/>
  <c r="L560" i="4"/>
  <c r="K560" i="4" s="1"/>
  <c r="M561" i="4" l="1"/>
  <c r="O561" i="4"/>
  <c r="L561" i="4"/>
  <c r="K561" i="4" s="1"/>
  <c r="M562" i="4" l="1"/>
  <c r="O562" i="4"/>
  <c r="L562" i="4"/>
  <c r="K562" i="4" s="1"/>
  <c r="M563" i="4" l="1"/>
  <c r="O563" i="4" s="1"/>
  <c r="L563" i="4"/>
  <c r="K563" i="4" s="1"/>
  <c r="M564" i="4" l="1"/>
  <c r="O564" i="4"/>
  <c r="L564" i="4"/>
  <c r="K564" i="4" s="1"/>
  <c r="M565" i="4" l="1"/>
  <c r="O565" i="4"/>
  <c r="L565" i="4"/>
  <c r="K565" i="4" s="1"/>
  <c r="M566" i="4" l="1"/>
  <c r="O566" i="4"/>
  <c r="L566" i="4"/>
  <c r="K566" i="4" s="1"/>
  <c r="M567" i="4" l="1"/>
  <c r="O567" i="4"/>
  <c r="L567" i="4"/>
  <c r="K567" i="4" s="1"/>
  <c r="M568" i="4" l="1"/>
  <c r="O568" i="4"/>
  <c r="L568" i="4"/>
  <c r="K568" i="4" s="1"/>
  <c r="M569" i="4" l="1"/>
  <c r="O569" i="4"/>
  <c r="L569" i="4"/>
  <c r="K569" i="4" s="1"/>
  <c r="M570" i="4" l="1"/>
  <c r="O570" i="4"/>
  <c r="L570" i="4"/>
  <c r="K570" i="4" s="1"/>
  <c r="M571" i="4" l="1"/>
  <c r="O571" i="4" s="1"/>
  <c r="L571" i="4"/>
  <c r="K571" i="4" s="1"/>
  <c r="M572" i="4" l="1"/>
  <c r="O572" i="4"/>
  <c r="L572" i="4"/>
  <c r="K572" i="4" s="1"/>
  <c r="M573" i="4" l="1"/>
  <c r="O573" i="4"/>
  <c r="L573" i="4"/>
  <c r="K573" i="4" s="1"/>
  <c r="M574" i="4" l="1"/>
  <c r="O574" i="4"/>
  <c r="L574" i="4"/>
  <c r="K574" i="4" s="1"/>
  <c r="M575" i="4" l="1"/>
  <c r="O575" i="4"/>
  <c r="L575" i="4"/>
  <c r="K575" i="4" s="1"/>
  <c r="M576" i="4" l="1"/>
  <c r="O576" i="4"/>
  <c r="L576" i="4"/>
  <c r="K576" i="4" s="1"/>
  <c r="M577" i="4" l="1"/>
  <c r="O577" i="4"/>
  <c r="L577" i="4"/>
  <c r="K577" i="4" s="1"/>
  <c r="M578" i="4" l="1"/>
  <c r="O578" i="4"/>
  <c r="L578" i="4"/>
  <c r="K578" i="4" s="1"/>
  <c r="M579" i="4" l="1"/>
  <c r="O579" i="4" s="1"/>
  <c r="L579" i="4"/>
  <c r="K579" i="4" s="1"/>
  <c r="M580" i="4" l="1"/>
  <c r="O580" i="4"/>
  <c r="L580" i="4"/>
  <c r="K580" i="4" s="1"/>
  <c r="M581" i="4" l="1"/>
  <c r="O581" i="4"/>
  <c r="L581" i="4"/>
  <c r="K581" i="4" s="1"/>
  <c r="M582" i="4" l="1"/>
  <c r="O582" i="4"/>
  <c r="L582" i="4"/>
  <c r="K582" i="4" s="1"/>
  <c r="M583" i="4" l="1"/>
  <c r="O583" i="4"/>
  <c r="L583" i="4"/>
  <c r="K583" i="4" s="1"/>
  <c r="M584" i="4" l="1"/>
  <c r="O584" i="4"/>
  <c r="L584" i="4"/>
  <c r="K584" i="4" s="1"/>
  <c r="M585" i="4" l="1"/>
  <c r="O585" i="4"/>
  <c r="L585" i="4"/>
  <c r="K585" i="4" s="1"/>
  <c r="M586" i="4" l="1"/>
  <c r="O586" i="4"/>
  <c r="L586" i="4"/>
  <c r="K586" i="4" s="1"/>
  <c r="L587" i="4" l="1"/>
  <c r="M587" i="4"/>
  <c r="O587" i="4" s="1"/>
  <c r="M588" i="4" l="1"/>
  <c r="O588" i="4"/>
  <c r="L588" i="4"/>
  <c r="K588" i="4" s="1"/>
  <c r="K587" i="4"/>
  <c r="M589" i="4" l="1"/>
  <c r="O589" i="4"/>
  <c r="L589" i="4"/>
  <c r="K589" i="4" s="1"/>
  <c r="M590" i="4" l="1"/>
  <c r="O590" i="4"/>
  <c r="L590" i="4"/>
  <c r="K590" i="4" s="1"/>
  <c r="M591" i="4" l="1"/>
  <c r="O591" i="4"/>
  <c r="L591" i="4"/>
  <c r="K591" i="4" s="1"/>
  <c r="M592" i="4" l="1"/>
  <c r="O592" i="4"/>
  <c r="L592" i="4"/>
  <c r="K592" i="4" s="1"/>
  <c r="M593" i="4" l="1"/>
  <c r="O593" i="4"/>
  <c r="L593" i="4"/>
  <c r="K593" i="4" s="1"/>
  <c r="M594" i="4" l="1"/>
  <c r="O594" i="4"/>
  <c r="L594" i="4"/>
  <c r="K594" i="4" s="1"/>
  <c r="M595" i="4" l="1"/>
  <c r="O595" i="4" s="1"/>
  <c r="L595" i="4"/>
  <c r="K595" i="4" s="1"/>
  <c r="M596" i="4" l="1"/>
  <c r="O596" i="4"/>
  <c r="L596" i="4"/>
  <c r="K596" i="4" s="1"/>
  <c r="M597" i="4" l="1"/>
  <c r="O597" i="4"/>
  <c r="L597" i="4"/>
  <c r="K597" i="4" s="1"/>
  <c r="M598" i="4" l="1"/>
  <c r="O598" i="4"/>
  <c r="L598" i="4"/>
  <c r="K598" i="4" s="1"/>
  <c r="M599" i="4" l="1"/>
  <c r="O599" i="4" s="1"/>
  <c r="L599" i="4"/>
  <c r="K599" i="4" s="1"/>
  <c r="M600" i="4" l="1"/>
  <c r="O600" i="4"/>
  <c r="L600" i="4"/>
  <c r="K600" i="4" s="1"/>
  <c r="M601" i="4" l="1"/>
  <c r="O601" i="4"/>
  <c r="L601" i="4"/>
  <c r="K601" i="4" s="1"/>
  <c r="M602" i="4" l="1"/>
  <c r="O602" i="4"/>
  <c r="L602" i="4"/>
  <c r="K602" i="4" s="1"/>
  <c r="L603" i="4" l="1"/>
  <c r="M603" i="4"/>
  <c r="O603" i="4" s="1"/>
  <c r="M604" i="4" l="1"/>
  <c r="O604" i="4" s="1"/>
  <c r="L604" i="4"/>
  <c r="K603" i="4"/>
  <c r="K604" i="4" l="1"/>
  <c r="M605" i="4"/>
  <c r="O605" i="4"/>
  <c r="L605" i="4"/>
  <c r="K605" i="4" s="1"/>
  <c r="M606" i="4" l="1"/>
  <c r="O606" i="4"/>
  <c r="L606" i="4"/>
  <c r="K606" i="4" s="1"/>
  <c r="M607" i="4" l="1"/>
  <c r="O607" i="4"/>
  <c r="L607" i="4"/>
  <c r="K607" i="4" s="1"/>
  <c r="M608" i="4" l="1"/>
  <c r="O608" i="4"/>
  <c r="L608" i="4"/>
  <c r="K608" i="4" s="1"/>
  <c r="M609" i="4" l="1"/>
  <c r="O609" i="4"/>
  <c r="L609" i="4"/>
  <c r="K609" i="4" s="1"/>
  <c r="L610" i="4" l="1"/>
  <c r="M610" i="4"/>
  <c r="O610" i="4" s="1"/>
  <c r="K610" i="4" l="1"/>
  <c r="V4" i="4"/>
  <c r="W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<sst xmlns="http://schemas.openxmlformats.org/spreadsheetml/2006/main" count="112" uniqueCount="49">
  <si>
    <t xml:space="preserve">Monto </t>
  </si>
  <si>
    <t>Plazo</t>
  </si>
  <si>
    <t>Tasa EA</t>
  </si>
  <si>
    <t>Periodo</t>
  </si>
  <si>
    <t>Interés</t>
  </si>
  <si>
    <t>Cuota</t>
  </si>
  <si>
    <t>Amortización</t>
  </si>
  <si>
    <t>Saldo</t>
  </si>
  <si>
    <t>a.</t>
  </si>
  <si>
    <t>Primera Cuota</t>
  </si>
  <si>
    <t>b.</t>
  </si>
  <si>
    <t>Composicion 230</t>
  </si>
  <si>
    <t>c.</t>
  </si>
  <si>
    <t>Composicion 229</t>
  </si>
  <si>
    <t xml:space="preserve">d. </t>
  </si>
  <si>
    <t>Saldo 140</t>
  </si>
  <si>
    <t>e.</t>
  </si>
  <si>
    <t>Interés 121</t>
  </si>
  <si>
    <t>f.</t>
  </si>
  <si>
    <t>No se capitalizan intereses en este periodo</t>
  </si>
  <si>
    <t>Abono a partir del</t>
  </si>
  <si>
    <t>se abona a capital</t>
  </si>
  <si>
    <t>Pago</t>
  </si>
  <si>
    <t>Monto</t>
  </si>
  <si>
    <t>g</t>
  </si>
  <si>
    <t>Balloon</t>
  </si>
  <si>
    <t>Cuota Extra</t>
  </si>
  <si>
    <t>Periodos de Gracia</t>
  </si>
  <si>
    <t>Periodicidad</t>
  </si>
  <si>
    <t xml:space="preserve">Cuota </t>
  </si>
  <si>
    <t>Tasa EM</t>
  </si>
  <si>
    <t xml:space="preserve">Tasa EM </t>
  </si>
  <si>
    <t xml:space="preserve">Plazo </t>
  </si>
  <si>
    <t>Cuota Extra NP</t>
  </si>
  <si>
    <t xml:space="preserve">Periodo </t>
  </si>
  <si>
    <t>Saldo Final</t>
  </si>
  <si>
    <t>Opción 2: Alterar Plazo</t>
  </si>
  <si>
    <t>Opción 1: Alterar Pago</t>
  </si>
  <si>
    <t>Pago a partir del 19</t>
  </si>
  <si>
    <t>No Pactada Acum</t>
  </si>
  <si>
    <t>Plazo Nuevo</t>
  </si>
  <si>
    <t>VA</t>
  </si>
  <si>
    <t xml:space="preserve">Saldo Abono </t>
  </si>
  <si>
    <t>Dif</t>
  </si>
  <si>
    <t>Plazo Total</t>
  </si>
  <si>
    <t>Intereses Op1</t>
  </si>
  <si>
    <t>Intereses Op2</t>
  </si>
  <si>
    <t>Interes</t>
  </si>
  <si>
    <t>Nicolás González Jaramillo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</si>
</sst>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 #,##0;[Red]\-&quot;$&quot;\ #,##0"/>
    <numFmt numFmtId="8" formatCode="&quot;$&quot;\ #,##0.00;[Red]\-&quot;$&quot;\ #,##0.00"/>
    <numFmt numFmtId="44" formatCode="_-&quot;$&quot;\ * #,##0.00_-;\-&quot;$&quot;\ * #,##0.00_-;_-&quot;$&quot;\ * &quot;-&quot;??_-;_-@_-"/>
    <numFmt numFmtId="43" formatCode="_-* #,##0.00_-;\-* #,##0.00_-;_-* &quot;-&quot;??_-;_-@_-"/>
    <numFmt numFmtId="164" formatCode="0\ &quot;años&quot;"/>
    <numFmt numFmtId="165" formatCode="_-&quot;$&quot;\ * #,##0_-;\-&quot;$&quot;\ * #,##0_-;_-&quot;$&quot;\ * &quot;-&quot;??_-;_-@_-"/>
    <numFmt numFmtId="166" formatCode="&quot;mes&quot;\ 0"/>
    <numFmt numFmtId="167" formatCode="0\ &quot;meses&quot;"/>
    <numFmt numFmtId="168" formatCode="_-* #,##0_-;\-* #,##0_-;_-* &quot;-&quot;??_-;_-@_-"/>
  </numFmts>
  <fonts count="6"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8"/>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1">
    <border>
      <left/>
      <right/>
      <top/>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27">
    <xf numFmtId="0" fontId="0" fillId="0" borderId="0" xfId="0"/>
    <xf numFmtId="164" fontId="0" fillId="0" borderId="0" xfId="0" applyNumberFormat="1"/>
    <xf numFmtId="10" fontId="0" fillId="0" borderId="0" xfId="0" applyNumberFormat="1"/>
    <xf numFmtId="10" fontId="0" fillId="0" borderId="0" xfId="3" applyNumberFormat="1" applyFont="1"/>
    <xf numFmtId="165" fontId="0" fillId="0" borderId="0" xfId="2" applyNumberFormat="1" applyFont="1"/>
    <xf numFmtId="44" fontId="0" fillId="0" borderId="0" xfId="0" applyNumberFormat="1"/>
    <xf numFmtId="165" fontId="0" fillId="0" borderId="0" xfId="0" applyNumberFormat="1"/>
    <xf numFmtId="44" fontId="0" fillId="2" borderId="0" xfId="0" applyNumberFormat="1" applyFill="1"/>
    <xf numFmtId="0" fontId="2" fillId="0" borderId="0" xfId="0" applyFont="1" applyAlignment="1">
      <alignment horizontal="right"/>
    </xf>
    <xf numFmtId="0" fontId="0" fillId="0" borderId="0" xfId="0" applyAlignment="1">
      <alignment horizontal="center"/>
    </xf>
    <xf numFmtId="0" fontId="2" fillId="3" borderId="0" xfId="0" applyFont="1" applyFill="1" applyAlignment="1">
      <alignment horizontal="center"/>
    </xf>
    <xf numFmtId="0" fontId="0" fillId="2" borderId="0" xfId="0" applyFill="1"/>
    <xf numFmtId="165" fontId="0" fillId="2" borderId="0" xfId="0" applyNumberFormat="1" applyFill="1"/>
    <xf numFmtId="166" fontId="0" fillId="0" borderId="0" xfId="0" applyNumberFormat="1" applyAlignment="1">
      <alignment horizontal="center"/>
    </xf>
    <xf numFmtId="165" fontId="0" fillId="0" borderId="0" xfId="0" applyNumberFormat="1" applyAlignment="1">
      <alignment horizontal="center"/>
    </xf>
    <xf numFmtId="0" fontId="0" fillId="0" borderId="0" xfId="0" applyAlignment="1">
      <alignment horizontal="left"/>
    </xf>
    <xf numFmtId="8" fontId="0" fillId="0" borderId="0" xfId="0" applyNumberFormat="1"/>
    <xf numFmtId="9" fontId="0" fillId="0" borderId="0" xfId="0" applyNumberFormat="1"/>
    <xf numFmtId="167" fontId="0" fillId="0" borderId="0" xfId="0" applyNumberFormat="1"/>
    <xf numFmtId="6" fontId="0" fillId="0" borderId="0" xfId="0" applyNumberFormat="1"/>
    <xf numFmtId="168" fontId="0" fillId="0" borderId="0" xfId="1" applyNumberFormat="1" applyFont="1"/>
    <xf numFmtId="43" fontId="0" fillId="0" borderId="0" xfId="0" applyNumberFormat="1"/>
    <xf numFmtId="0" fontId="3" fillId="0" borderId="0" xfId="0" applyFont="1"/>
    <xf numFmtId="165" fontId="3" fillId="0" borderId="0" xfId="0" applyNumberFormat="1" applyFont="1"/>
    <xf numFmtId="165" fontId="4" fillId="0" borderId="0" xfId="0" applyNumberFormat="1" applyFont="1"/>
    <xf numFmtId="0" fontId="0" fillId="0" borderId="0" xfId="0" applyAlignment="1">
      <alignment horizontal="left"/>
    </xf>
    <xf numFmtId="0" fontId="5" fillId="0" borderId="0" xfId="0" applyFont="1"/>
  </cellXfs>
  <cellStyles count="4">
    <cellStyle name="Millares" xfId="1" builtinId="3"/>
    <cellStyle name="Moneda" xfId="2" builtinId="4"/>
    <cellStyle name="Normal" xfId="0" builtinId="0"/>
    <cellStyle name="Porcentaje" xfId="3" builtinId="5"/>
  </cellStyles>
  <dxfs count="6">
    <dxf>
      <numFmt numFmtId="169" formatCode=";;;"/>
    </dxf>
    <dxf>
      <numFmt numFmtId="169" formatCode=";;;"/>
    </dxf>
    <dxf>
      <numFmt numFmtId="169" formatCode=";;;"/>
    </dxf>
    <dxf>
      <numFmt numFmtId="169" formatCode=";;;"/>
    </dxf>
    <dxf>
      <numFmt numFmtId="169" formatCode=";;;"/>
    </dxf>
    <dxf>
      <numFmt numFmtId="169"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8</xdr:col>
      <xdr:colOff>342900</xdr:colOff>
      <xdr:row>0</xdr:row>
      <xdr:rowOff>83820</xdr:rowOff>
    </xdr:from>
    <xdr:to>
      <xdr:col>11</xdr:col>
      <xdr:colOff>99060</xdr:colOff>
      <xdr:row>12</xdr:row>
      <xdr:rowOff>22860</xdr:rowOff>
    </xdr:to>
    <xdr:pic macro="[0]!BuscarObjetivo">
      <xdr:nvPicPr>
        <xdr:cNvPr id="3" name="Gráfico 2" descr="Pato de goma contorno">
          <a:extLst>
            <a:ext uri="{FF2B5EF4-FFF2-40B4-BE49-F238E27FC236}">
              <a16:creationId xmlns:a16="http://schemas.microsoft.com/office/drawing/2014/main" id="{C6F75A69-20A6-A079-2658-DD33152619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52460" y="83820"/>
          <a:ext cx="2133600" cy="2133600"/>
        </a:xfrm>
        <a:prstGeom prst="rect">
          <a:avLst/>
        </a:prstGeom>
      </xdr:spPr>
    </xdr:pic>
    <xdr:clientData/>
  </xdr:twoCellAnchor>
  <xdr:twoCellAnchor>
    <xdr:from>
      <xdr:col>8</xdr:col>
      <xdr:colOff>160020</xdr:colOff>
      <xdr:row>10</xdr:row>
      <xdr:rowOff>83820</xdr:rowOff>
    </xdr:from>
    <xdr:to>
      <xdr:col>11</xdr:col>
      <xdr:colOff>320040</xdr:colOff>
      <xdr:row>12</xdr:row>
      <xdr:rowOff>175260</xdr:rowOff>
    </xdr:to>
    <xdr:sp macro="" textlink="">
      <xdr:nvSpPr>
        <xdr:cNvPr id="4" name="CuadroTexto 3">
          <a:extLst>
            <a:ext uri="{FF2B5EF4-FFF2-40B4-BE49-F238E27FC236}">
              <a16:creationId xmlns:a16="http://schemas.microsoft.com/office/drawing/2014/main" id="{B021E878-A3B4-999F-0C53-A7BCD8138F68}"/>
            </a:ext>
          </a:extLst>
        </xdr:cNvPr>
        <xdr:cNvSpPr txBox="1"/>
      </xdr:nvSpPr>
      <xdr:spPr>
        <a:xfrm>
          <a:off x="8069580" y="1912620"/>
          <a:ext cx="253746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DARLE</a:t>
          </a:r>
          <a:r>
            <a:rPr lang="es-CO" sz="1100" baseline="0"/>
            <a:t> CLICK AL PATO CUANDO DESEE CALCULAR LA CUOTA MENSUAL</a:t>
          </a:r>
          <a:endParaRPr lang="es-CO"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147961</xdr:colOff>
      <xdr:row>0</xdr:row>
      <xdr:rowOff>0</xdr:rowOff>
    </xdr:from>
    <xdr:to>
      <xdr:col>19</xdr:col>
      <xdr:colOff>129540</xdr:colOff>
      <xdr:row>17</xdr:row>
      <xdr:rowOff>76375</xdr:rowOff>
    </xdr:to>
    <xdr:pic macro="[0]!BuscarNper">
      <xdr:nvPicPr>
        <xdr:cNvPr id="3" name="Gráfico 2" descr="Pato contorno">
          <a:extLst>
            <a:ext uri="{FF2B5EF4-FFF2-40B4-BE49-F238E27FC236}">
              <a16:creationId xmlns:a16="http://schemas.microsoft.com/office/drawing/2014/main" id="{5245398E-A726-DCBC-36F5-CD1AF93529E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612501" y="0"/>
          <a:ext cx="3151499" cy="3185335"/>
        </a:xfrm>
        <a:prstGeom prst="rect">
          <a:avLst/>
        </a:prstGeom>
      </xdr:spPr>
    </xdr:pic>
    <xdr:clientData/>
  </xdr:twoCellAnchor>
  <xdr:twoCellAnchor>
    <xdr:from>
      <xdr:col>15</xdr:col>
      <xdr:colOff>563880</xdr:colOff>
      <xdr:row>16</xdr:row>
      <xdr:rowOff>38100</xdr:rowOff>
    </xdr:from>
    <xdr:to>
      <xdr:col>19</xdr:col>
      <xdr:colOff>30480</xdr:colOff>
      <xdr:row>20</xdr:row>
      <xdr:rowOff>68580</xdr:rowOff>
    </xdr:to>
    <xdr:sp macro="" textlink="">
      <xdr:nvSpPr>
        <xdr:cNvPr id="4" name="CuadroTexto 3">
          <a:extLst>
            <a:ext uri="{FF2B5EF4-FFF2-40B4-BE49-F238E27FC236}">
              <a16:creationId xmlns:a16="http://schemas.microsoft.com/office/drawing/2014/main" id="{D6F02A70-B8D3-07BE-FA6B-119FFA89B6AD}"/>
            </a:ext>
          </a:extLst>
        </xdr:cNvPr>
        <xdr:cNvSpPr txBox="1"/>
      </xdr:nvSpPr>
      <xdr:spPr>
        <a:xfrm>
          <a:off x="14028420" y="2964180"/>
          <a:ext cx="2636520"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DARLE CLICK AL PATO</a:t>
          </a:r>
          <a:r>
            <a:rPr lang="es-CO" sz="1100" baseline="0"/>
            <a:t> PARA CALCULAR EL PERIODO NUEVO DESPUÉS DE PAGAR LA CUOTA EXTRA NO PACTADA</a:t>
          </a:r>
          <a:endParaRPr lang="es-CO" sz="1100"/>
        </a:p>
      </xdr:txBody>
    </xdr:sp>
    <xdr:clientData/>
  </xdr:twoCellAnchor>
  <xdr:twoCellAnchor>
    <xdr:from>
      <xdr:col>20</xdr:col>
      <xdr:colOff>175260</xdr:colOff>
      <xdr:row>5</xdr:row>
      <xdr:rowOff>83820</xdr:rowOff>
    </xdr:from>
    <xdr:to>
      <xdr:col>25</xdr:col>
      <xdr:colOff>144780</xdr:colOff>
      <xdr:row>15</xdr:row>
      <xdr:rowOff>45720</xdr:rowOff>
    </xdr:to>
    <xdr:sp macro="" textlink="">
      <xdr:nvSpPr>
        <xdr:cNvPr id="5" name="CuadroTexto 4">
          <a:extLst>
            <a:ext uri="{FF2B5EF4-FFF2-40B4-BE49-F238E27FC236}">
              <a16:creationId xmlns:a16="http://schemas.microsoft.com/office/drawing/2014/main" id="{FD119D93-08B9-512F-50ED-CC71C4DE9499}"/>
            </a:ext>
          </a:extLst>
        </xdr:cNvPr>
        <xdr:cNvSpPr txBox="1"/>
      </xdr:nvSpPr>
      <xdr:spPr>
        <a:xfrm>
          <a:off x="17602200" y="998220"/>
          <a:ext cx="4160520" cy="1790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Se</a:t>
          </a:r>
          <a:r>
            <a:rPr lang="es-CO" sz="1100" baseline="0"/>
            <a:t> le recomienda al cliente escoger la opción 2 de reducir el plazo tras el aporte no pactado para así reducir los intereses de la obligación. De esta manera, el cliente se estaría ahorrando 6.313.012 COP en intereses. Si el abono fuera de 500.000 COP se le recomienda al cliente, de igual manera, escoger la opción 1 pués el pago de intereses se reduce. SIn embargo, se le recomienda que para futuras obligaciones intente que los abonos no pactados se hagan lo antes posible para reducir la cuota y los intereses mucho antes.</a:t>
          </a:r>
          <a:endParaRPr lang="es-CO"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307"/>
  <sheetViews>
    <sheetView showGridLines="0" tabSelected="1" workbookViewId="0">
      <selection activeCell="C6" sqref="C6"/>
    </sheetView>
  </sheetViews>
  <sheetFormatPr baseColWidth="10" defaultColWidth="8.88671875" defaultRowHeight="14.4" x14ac:dyDescent="0.3"/>
  <cols>
    <col min="7" max="7" width="16.44140625" bestFit="1" customWidth="1"/>
    <col min="8" max="8" width="14.33203125" bestFit="1" customWidth="1"/>
    <col min="9" max="9" width="11.77734375" bestFit="1" customWidth="1"/>
    <col min="10" max="10" width="16.44140625" bestFit="1" customWidth="1"/>
    <col min="12" max="12" width="15.6640625" bestFit="1" customWidth="1"/>
    <col min="13" max="13" width="14.33203125" bestFit="1" customWidth="1"/>
    <col min="14" max="14" width="13.88671875" bestFit="1" customWidth="1"/>
    <col min="15" max="15" width="12.77734375" bestFit="1" customWidth="1"/>
    <col min="16" max="16" width="15.33203125" bestFit="1" customWidth="1"/>
    <col min="17" max="17" width="12.88671875" bestFit="1" customWidth="1"/>
  </cols>
  <sheetData>
    <row r="1" spans="1:18" ht="23.4" x14ac:dyDescent="0.45">
      <c r="A1" s="26" t="s">
        <v>48</v>
      </c>
      <c r="B1" s="26"/>
      <c r="C1" s="26"/>
    </row>
    <row r="2" spans="1:18" x14ac:dyDescent="0.3">
      <c r="F2" t="s">
        <v>0</v>
      </c>
      <c r="G2" s="4">
        <v>200000000</v>
      </c>
      <c r="K2" s="8" t="s">
        <v>8</v>
      </c>
      <c r="L2" t="s">
        <v>9</v>
      </c>
      <c r="M2" s="6">
        <f>H8</f>
        <v>1719005.5220362167</v>
      </c>
    </row>
    <row r="3" spans="1:18" x14ac:dyDescent="0.3">
      <c r="F3" t="s">
        <v>1</v>
      </c>
      <c r="G3" s="1">
        <v>25</v>
      </c>
      <c r="K3" s="8" t="s">
        <v>10</v>
      </c>
      <c r="L3" t="s">
        <v>11</v>
      </c>
      <c r="M3" s="10" t="s">
        <v>3</v>
      </c>
      <c r="N3" s="10" t="s">
        <v>4</v>
      </c>
      <c r="O3" s="10" t="s">
        <v>5</v>
      </c>
      <c r="P3" s="10" t="s">
        <v>6</v>
      </c>
      <c r="Q3" s="10" t="s">
        <v>7</v>
      </c>
      <c r="R3" s="5"/>
    </row>
    <row r="4" spans="1:18" x14ac:dyDescent="0.3">
      <c r="F4" t="s">
        <v>2</v>
      </c>
      <c r="G4" s="2">
        <v>6.5000000000000002E-2</v>
      </c>
      <c r="H4" s="3">
        <f>NOMINAL(G4,12)/12</f>
        <v>5.2616942768477504E-3</v>
      </c>
      <c r="M4" s="9">
        <v>230</v>
      </c>
      <c r="N4" s="14">
        <f>_xlfn.XLOOKUP($M$4,$F$6:$F$307,G6:G307,0,0)</f>
        <v>249053.52910412973</v>
      </c>
      <c r="O4" s="14">
        <f>_xlfn.XLOOKUP($M$4,$F$6:$F$307,H6:H307,0,0)</f>
        <v>915720.19577079639</v>
      </c>
      <c r="P4" s="14">
        <f>_xlfn.XLOOKUP($M$4,$F$6:$F$307,I6:I307,0,0)</f>
        <v>666666.66666666663</v>
      </c>
      <c r="Q4" s="14">
        <f>_xlfn.XLOOKUP($M$4,$F$6:$F$307,J6:J307,0,0)</f>
        <v>46666666.666667216</v>
      </c>
    </row>
    <row r="5" spans="1:18" x14ac:dyDescent="0.3">
      <c r="K5" s="8" t="s">
        <v>12</v>
      </c>
      <c r="L5" t="s">
        <v>13</v>
      </c>
      <c r="M5" s="10" t="s">
        <v>3</v>
      </c>
      <c r="N5" s="10" t="s">
        <v>4</v>
      </c>
      <c r="O5" s="10" t="s">
        <v>5</v>
      </c>
      <c r="P5" s="10" t="s">
        <v>6</v>
      </c>
      <c r="Q5" s="10" t="s">
        <v>7</v>
      </c>
    </row>
    <row r="6" spans="1:18" x14ac:dyDescent="0.3">
      <c r="F6" s="10" t="s">
        <v>3</v>
      </c>
      <c r="G6" s="10" t="s">
        <v>4</v>
      </c>
      <c r="H6" s="10" t="s">
        <v>5</v>
      </c>
      <c r="I6" s="10" t="s">
        <v>6</v>
      </c>
      <c r="J6" s="10" t="s">
        <v>7</v>
      </c>
      <c r="M6" s="9">
        <v>229</v>
      </c>
      <c r="N6" s="14">
        <f>_xlfn.XLOOKUP($M$6,$F$6:$F$307,G6:G307,0,0)</f>
        <v>252561.32528869488</v>
      </c>
      <c r="O6" s="14">
        <f t="shared" ref="O6:P6" si="0">_xlfn.XLOOKUP($M$6,$F$6:$F$307,H6:H307,0,0)</f>
        <v>919227.99195536156</v>
      </c>
      <c r="P6" s="14">
        <f t="shared" si="0"/>
        <v>666666.66666666663</v>
      </c>
      <c r="Q6" s="14">
        <f>_xlfn.XLOOKUP($M$6,$F$6:$F$307,J6:J307,0,0)</f>
        <v>47333333.33333388</v>
      </c>
    </row>
    <row r="7" spans="1:18" x14ac:dyDescent="0.3">
      <c r="F7" cm="1">
        <f t="array" ref="F7:F307">_xlfn.SEQUENCE(G3*12+1,,0)</f>
        <v>0</v>
      </c>
      <c r="J7" s="4">
        <f>G2</f>
        <v>200000000</v>
      </c>
      <c r="K7" s="8" t="s">
        <v>14</v>
      </c>
      <c r="L7" t="s">
        <v>15</v>
      </c>
      <c r="M7" s="10" t="s">
        <v>3</v>
      </c>
      <c r="N7" s="10" t="s">
        <v>7</v>
      </c>
    </row>
    <row r="8" spans="1:18" x14ac:dyDescent="0.3">
      <c r="F8" s="11">
        <v>1</v>
      </c>
      <c r="G8" s="5">
        <f>J7*$H$4</f>
        <v>1052338.8553695502</v>
      </c>
      <c r="H8" s="7">
        <f>G8+I8</f>
        <v>1719005.5220362167</v>
      </c>
      <c r="I8" s="6">
        <f>$J$7/($G$3*12)</f>
        <v>666666.66666666663</v>
      </c>
      <c r="J8" s="6">
        <f>J7-I8</f>
        <v>199333333.33333334</v>
      </c>
      <c r="M8" s="9">
        <v>140</v>
      </c>
      <c r="N8" s="6">
        <f>_xlfn.XLOOKUP($M$8,$F$6:$F$307,J6:J307,0,0)</f>
        <v>106666666.66666743</v>
      </c>
    </row>
    <row r="9" spans="1:18" x14ac:dyDescent="0.3">
      <c r="F9">
        <v>2</v>
      </c>
      <c r="G9" s="5">
        <f t="shared" ref="G9:G72" si="1">J8*$H$4</f>
        <v>1048831.059184985</v>
      </c>
      <c r="H9" s="5">
        <f t="shared" ref="H9:H72" si="2">G9+I9</f>
        <v>1715497.7258516517</v>
      </c>
      <c r="I9" s="6">
        <f t="shared" ref="I9:I72" si="3">$J$7/($G$3*12)</f>
        <v>666666.66666666663</v>
      </c>
      <c r="J9" s="6">
        <f t="shared" ref="J9:J72" si="4">J8-I9</f>
        <v>198666666.66666669</v>
      </c>
      <c r="K9" s="8" t="s">
        <v>16</v>
      </c>
      <c r="L9" t="s">
        <v>17</v>
      </c>
      <c r="M9" s="25" t="s">
        <v>19</v>
      </c>
      <c r="N9" s="25"/>
      <c r="O9" s="25"/>
      <c r="P9" s="25"/>
    </row>
    <row r="10" spans="1:18" x14ac:dyDescent="0.3">
      <c r="F10">
        <v>3</v>
      </c>
      <c r="G10" s="5">
        <f t="shared" si="1"/>
        <v>1045323.2630004198</v>
      </c>
      <c r="H10" s="5">
        <f t="shared" si="2"/>
        <v>1711989.9296670863</v>
      </c>
      <c r="I10" s="6">
        <f t="shared" si="3"/>
        <v>666666.66666666663</v>
      </c>
      <c r="J10" s="6">
        <f t="shared" si="4"/>
        <v>198000000.00000003</v>
      </c>
      <c r="K10" s="8" t="s">
        <v>18</v>
      </c>
      <c r="L10" t="s">
        <v>20</v>
      </c>
      <c r="M10" s="13">
        <f>F8</f>
        <v>1</v>
      </c>
      <c r="N10" s="25" t="s">
        <v>21</v>
      </c>
      <c r="O10" s="25"/>
    </row>
    <row r="11" spans="1:18" x14ac:dyDescent="0.3">
      <c r="F11">
        <v>4</v>
      </c>
      <c r="G11" s="5">
        <f t="shared" si="1"/>
        <v>1041815.4668158548</v>
      </c>
      <c r="H11" s="5">
        <f t="shared" si="2"/>
        <v>1708482.1334825214</v>
      </c>
      <c r="I11" s="6">
        <f t="shared" si="3"/>
        <v>666666.66666666663</v>
      </c>
      <c r="J11" s="6">
        <f t="shared" si="4"/>
        <v>197333333.33333337</v>
      </c>
    </row>
    <row r="12" spans="1:18" x14ac:dyDescent="0.3">
      <c r="F12">
        <v>5</v>
      </c>
      <c r="G12" s="5">
        <f t="shared" si="1"/>
        <v>1038307.6706312896</v>
      </c>
      <c r="H12" s="5">
        <f t="shared" si="2"/>
        <v>1704974.3372979562</v>
      </c>
      <c r="I12" s="6">
        <f t="shared" si="3"/>
        <v>666666.66666666663</v>
      </c>
      <c r="J12" s="6">
        <f t="shared" si="4"/>
        <v>196666666.66666672</v>
      </c>
    </row>
    <row r="13" spans="1:18" x14ac:dyDescent="0.3">
      <c r="F13">
        <v>6</v>
      </c>
      <c r="G13" s="5">
        <f t="shared" si="1"/>
        <v>1034799.8744467245</v>
      </c>
      <c r="H13" s="5">
        <f t="shared" si="2"/>
        <v>1701466.5411133911</v>
      </c>
      <c r="I13" s="6">
        <f t="shared" si="3"/>
        <v>666666.66666666663</v>
      </c>
      <c r="J13" s="6">
        <f t="shared" si="4"/>
        <v>196000000.00000006</v>
      </c>
    </row>
    <row r="14" spans="1:18" x14ac:dyDescent="0.3">
      <c r="F14">
        <v>7</v>
      </c>
      <c r="G14" s="5">
        <f t="shared" si="1"/>
        <v>1031292.0782621594</v>
      </c>
      <c r="H14" s="5">
        <f t="shared" si="2"/>
        <v>1697958.7449288261</v>
      </c>
      <c r="I14" s="6">
        <f t="shared" si="3"/>
        <v>666666.66666666663</v>
      </c>
      <c r="J14" s="6">
        <f t="shared" si="4"/>
        <v>195333333.3333334</v>
      </c>
    </row>
    <row r="15" spans="1:18" x14ac:dyDescent="0.3">
      <c r="F15">
        <v>8</v>
      </c>
      <c r="G15" s="5">
        <f t="shared" si="1"/>
        <v>1027784.2820775943</v>
      </c>
      <c r="H15" s="5">
        <f t="shared" si="2"/>
        <v>1694450.9487442609</v>
      </c>
      <c r="I15" s="6">
        <f t="shared" si="3"/>
        <v>666666.66666666663</v>
      </c>
      <c r="J15" s="6">
        <f t="shared" si="4"/>
        <v>194666666.66666675</v>
      </c>
    </row>
    <row r="16" spans="1:18" x14ac:dyDescent="0.3">
      <c r="F16">
        <v>9</v>
      </c>
      <c r="G16" s="5">
        <f t="shared" si="1"/>
        <v>1024276.4858930291</v>
      </c>
      <c r="H16" s="5">
        <f t="shared" si="2"/>
        <v>1690943.1525596958</v>
      </c>
      <c r="I16" s="6">
        <f t="shared" si="3"/>
        <v>666666.66666666663</v>
      </c>
      <c r="J16" s="6">
        <f t="shared" si="4"/>
        <v>194000000.00000009</v>
      </c>
    </row>
    <row r="17" spans="6:10" x14ac:dyDescent="0.3">
      <c r="F17">
        <v>10</v>
      </c>
      <c r="G17" s="5">
        <f t="shared" si="1"/>
        <v>1020768.6897084641</v>
      </c>
      <c r="H17" s="5">
        <f t="shared" si="2"/>
        <v>1687435.3563751308</v>
      </c>
      <c r="I17" s="6">
        <f t="shared" si="3"/>
        <v>666666.66666666663</v>
      </c>
      <c r="J17" s="6">
        <f t="shared" si="4"/>
        <v>193333333.33333343</v>
      </c>
    </row>
    <row r="18" spans="6:10" x14ac:dyDescent="0.3">
      <c r="F18">
        <v>11</v>
      </c>
      <c r="G18" s="5">
        <f t="shared" si="1"/>
        <v>1017260.8935238989</v>
      </c>
      <c r="H18" s="5">
        <f t="shared" si="2"/>
        <v>1683927.5601905654</v>
      </c>
      <c r="I18" s="6">
        <f t="shared" si="3"/>
        <v>666666.66666666663</v>
      </c>
      <c r="J18" s="6">
        <f t="shared" si="4"/>
        <v>192666666.66666678</v>
      </c>
    </row>
    <row r="19" spans="6:10" x14ac:dyDescent="0.3">
      <c r="F19">
        <v>12</v>
      </c>
      <c r="G19" s="5">
        <f t="shared" si="1"/>
        <v>1013753.0973393338</v>
      </c>
      <c r="H19" s="5">
        <f t="shared" si="2"/>
        <v>1680419.7640060005</v>
      </c>
      <c r="I19" s="6">
        <f t="shared" si="3"/>
        <v>666666.66666666663</v>
      </c>
      <c r="J19" s="6">
        <f t="shared" si="4"/>
        <v>192000000.00000012</v>
      </c>
    </row>
    <row r="20" spans="6:10" x14ac:dyDescent="0.3">
      <c r="F20">
        <v>13</v>
      </c>
      <c r="G20" s="5">
        <f t="shared" si="1"/>
        <v>1010245.3011547687</v>
      </c>
      <c r="H20" s="5">
        <f t="shared" si="2"/>
        <v>1676911.9678214353</v>
      </c>
      <c r="I20" s="6">
        <f t="shared" si="3"/>
        <v>666666.66666666663</v>
      </c>
      <c r="J20" s="6">
        <f t="shared" si="4"/>
        <v>191333333.33333346</v>
      </c>
    </row>
    <row r="21" spans="6:10" x14ac:dyDescent="0.3">
      <c r="F21">
        <v>14</v>
      </c>
      <c r="G21" s="5">
        <f t="shared" si="1"/>
        <v>1006737.5049702036</v>
      </c>
      <c r="H21" s="5">
        <f t="shared" si="2"/>
        <v>1673404.1716368701</v>
      </c>
      <c r="I21" s="6">
        <f t="shared" si="3"/>
        <v>666666.66666666663</v>
      </c>
      <c r="J21" s="6">
        <f t="shared" si="4"/>
        <v>190666666.66666681</v>
      </c>
    </row>
    <row r="22" spans="6:10" x14ac:dyDescent="0.3">
      <c r="F22">
        <v>15</v>
      </c>
      <c r="G22" s="5">
        <f t="shared" si="1"/>
        <v>1003229.7087856384</v>
      </c>
      <c r="H22" s="5">
        <f t="shared" si="2"/>
        <v>1669896.3754523052</v>
      </c>
      <c r="I22" s="6">
        <f t="shared" si="3"/>
        <v>666666.66666666663</v>
      </c>
      <c r="J22" s="6">
        <f t="shared" si="4"/>
        <v>190000000.00000015</v>
      </c>
    </row>
    <row r="23" spans="6:10" x14ac:dyDescent="0.3">
      <c r="F23">
        <v>16</v>
      </c>
      <c r="G23" s="5">
        <f t="shared" si="1"/>
        <v>999721.91260107339</v>
      </c>
      <c r="H23" s="5">
        <f t="shared" si="2"/>
        <v>1666388.57926774</v>
      </c>
      <c r="I23" s="6">
        <f t="shared" si="3"/>
        <v>666666.66666666663</v>
      </c>
      <c r="J23" s="6">
        <f t="shared" si="4"/>
        <v>189333333.33333349</v>
      </c>
    </row>
    <row r="24" spans="6:10" x14ac:dyDescent="0.3">
      <c r="F24">
        <v>17</v>
      </c>
      <c r="G24" s="5">
        <f t="shared" si="1"/>
        <v>996214.11641650822</v>
      </c>
      <c r="H24" s="5">
        <f t="shared" si="2"/>
        <v>1662880.7830831748</v>
      </c>
      <c r="I24" s="6">
        <f t="shared" si="3"/>
        <v>666666.66666666663</v>
      </c>
      <c r="J24" s="6">
        <f t="shared" si="4"/>
        <v>188666666.66666684</v>
      </c>
    </row>
    <row r="25" spans="6:10" x14ac:dyDescent="0.3">
      <c r="F25">
        <v>18</v>
      </c>
      <c r="G25" s="5">
        <f t="shared" si="1"/>
        <v>992706.32023194316</v>
      </c>
      <c r="H25" s="5">
        <f t="shared" si="2"/>
        <v>1659372.9868986099</v>
      </c>
      <c r="I25" s="6">
        <f t="shared" si="3"/>
        <v>666666.66666666663</v>
      </c>
      <c r="J25" s="6">
        <f t="shared" si="4"/>
        <v>188000000.00000018</v>
      </c>
    </row>
    <row r="26" spans="6:10" x14ac:dyDescent="0.3">
      <c r="F26">
        <v>19</v>
      </c>
      <c r="G26" s="5">
        <f t="shared" si="1"/>
        <v>989198.52404737798</v>
      </c>
      <c r="H26" s="5">
        <f t="shared" si="2"/>
        <v>1655865.1907140445</v>
      </c>
      <c r="I26" s="6">
        <f t="shared" si="3"/>
        <v>666666.66666666663</v>
      </c>
      <c r="J26" s="6">
        <f t="shared" si="4"/>
        <v>187333333.33333352</v>
      </c>
    </row>
    <row r="27" spans="6:10" x14ac:dyDescent="0.3">
      <c r="F27">
        <v>20</v>
      </c>
      <c r="G27" s="5">
        <f t="shared" si="1"/>
        <v>985690.72786281293</v>
      </c>
      <c r="H27" s="5">
        <f t="shared" si="2"/>
        <v>1652357.3945294796</v>
      </c>
      <c r="I27" s="6">
        <f t="shared" si="3"/>
        <v>666666.66666666663</v>
      </c>
      <c r="J27" s="6">
        <f t="shared" si="4"/>
        <v>186666666.66666687</v>
      </c>
    </row>
    <row r="28" spans="6:10" x14ac:dyDescent="0.3">
      <c r="F28">
        <v>21</v>
      </c>
      <c r="G28" s="5">
        <f t="shared" si="1"/>
        <v>982182.93167824775</v>
      </c>
      <c r="H28" s="5">
        <f t="shared" si="2"/>
        <v>1648849.5983449144</v>
      </c>
      <c r="I28" s="6">
        <f t="shared" si="3"/>
        <v>666666.66666666663</v>
      </c>
      <c r="J28" s="6">
        <f t="shared" si="4"/>
        <v>186000000.00000021</v>
      </c>
    </row>
    <row r="29" spans="6:10" x14ac:dyDescent="0.3">
      <c r="F29">
        <v>22</v>
      </c>
      <c r="G29" s="5">
        <f t="shared" si="1"/>
        <v>978675.1354936827</v>
      </c>
      <c r="H29" s="5">
        <f t="shared" si="2"/>
        <v>1645341.8021603492</v>
      </c>
      <c r="I29" s="6">
        <f t="shared" si="3"/>
        <v>666666.66666666663</v>
      </c>
      <c r="J29" s="6">
        <f t="shared" si="4"/>
        <v>185333333.33333355</v>
      </c>
    </row>
    <row r="30" spans="6:10" x14ac:dyDescent="0.3">
      <c r="F30">
        <v>23</v>
      </c>
      <c r="G30" s="5">
        <f t="shared" si="1"/>
        <v>975167.33930911752</v>
      </c>
      <c r="H30" s="5">
        <f t="shared" si="2"/>
        <v>1641834.0059757843</v>
      </c>
      <c r="I30" s="6">
        <f t="shared" si="3"/>
        <v>666666.66666666663</v>
      </c>
      <c r="J30" s="6">
        <f t="shared" si="4"/>
        <v>184666666.6666669</v>
      </c>
    </row>
    <row r="31" spans="6:10" x14ac:dyDescent="0.3">
      <c r="F31">
        <v>24</v>
      </c>
      <c r="G31" s="5">
        <f t="shared" si="1"/>
        <v>971659.54312455247</v>
      </c>
      <c r="H31" s="5">
        <f t="shared" si="2"/>
        <v>1638326.2097912191</v>
      </c>
      <c r="I31" s="6">
        <f t="shared" si="3"/>
        <v>666666.66666666663</v>
      </c>
      <c r="J31" s="6">
        <f t="shared" si="4"/>
        <v>184000000.00000024</v>
      </c>
    </row>
    <row r="32" spans="6:10" x14ac:dyDescent="0.3">
      <c r="F32">
        <v>25</v>
      </c>
      <c r="G32" s="5">
        <f t="shared" si="1"/>
        <v>968151.74693998729</v>
      </c>
      <c r="H32" s="5">
        <f t="shared" si="2"/>
        <v>1634818.4136066539</v>
      </c>
      <c r="I32" s="6">
        <f t="shared" si="3"/>
        <v>666666.66666666663</v>
      </c>
      <c r="J32" s="6">
        <f t="shared" si="4"/>
        <v>183333333.33333358</v>
      </c>
    </row>
    <row r="33" spans="6:10" x14ac:dyDescent="0.3">
      <c r="F33">
        <v>26</v>
      </c>
      <c r="G33" s="5">
        <f t="shared" si="1"/>
        <v>964643.95075542224</v>
      </c>
      <c r="H33" s="5">
        <f t="shared" si="2"/>
        <v>1631310.617422089</v>
      </c>
      <c r="I33" s="6">
        <f t="shared" si="3"/>
        <v>666666.66666666663</v>
      </c>
      <c r="J33" s="6">
        <f t="shared" si="4"/>
        <v>182666666.66666692</v>
      </c>
    </row>
    <row r="34" spans="6:10" x14ac:dyDescent="0.3">
      <c r="F34">
        <v>27</v>
      </c>
      <c r="G34" s="5">
        <f t="shared" si="1"/>
        <v>961136.15457085706</v>
      </c>
      <c r="H34" s="5">
        <f t="shared" si="2"/>
        <v>1627802.8212375236</v>
      </c>
      <c r="I34" s="6">
        <f t="shared" si="3"/>
        <v>666666.66666666663</v>
      </c>
      <c r="J34" s="6">
        <f t="shared" si="4"/>
        <v>182000000.00000027</v>
      </c>
    </row>
    <row r="35" spans="6:10" x14ac:dyDescent="0.3">
      <c r="F35">
        <v>28</v>
      </c>
      <c r="G35" s="5">
        <f t="shared" si="1"/>
        <v>957628.35838629201</v>
      </c>
      <c r="H35" s="5">
        <f t="shared" si="2"/>
        <v>1624295.0250529586</v>
      </c>
      <c r="I35" s="6">
        <f t="shared" si="3"/>
        <v>666666.66666666663</v>
      </c>
      <c r="J35" s="6">
        <f t="shared" si="4"/>
        <v>181333333.33333361</v>
      </c>
    </row>
    <row r="36" spans="6:10" x14ac:dyDescent="0.3">
      <c r="F36">
        <v>29</v>
      </c>
      <c r="G36" s="5">
        <f t="shared" si="1"/>
        <v>954120.56220172683</v>
      </c>
      <c r="H36" s="5">
        <f t="shared" si="2"/>
        <v>1620787.2288683935</v>
      </c>
      <c r="I36" s="6">
        <f t="shared" si="3"/>
        <v>666666.66666666663</v>
      </c>
      <c r="J36" s="6">
        <f t="shared" si="4"/>
        <v>180666666.66666695</v>
      </c>
    </row>
    <row r="37" spans="6:10" x14ac:dyDescent="0.3">
      <c r="F37">
        <v>30</v>
      </c>
      <c r="G37" s="5">
        <f t="shared" si="1"/>
        <v>950612.76601716178</v>
      </c>
      <c r="H37" s="5">
        <f t="shared" si="2"/>
        <v>1617279.4326838283</v>
      </c>
      <c r="I37" s="6">
        <f t="shared" si="3"/>
        <v>666666.66666666663</v>
      </c>
      <c r="J37" s="6">
        <f t="shared" si="4"/>
        <v>180000000.0000003</v>
      </c>
    </row>
    <row r="38" spans="6:10" x14ac:dyDescent="0.3">
      <c r="F38">
        <v>31</v>
      </c>
      <c r="G38" s="5">
        <f t="shared" si="1"/>
        <v>947104.9698325966</v>
      </c>
      <c r="H38" s="5">
        <f t="shared" si="2"/>
        <v>1613771.6364992633</v>
      </c>
      <c r="I38" s="6">
        <f t="shared" si="3"/>
        <v>666666.66666666663</v>
      </c>
      <c r="J38" s="6">
        <f t="shared" si="4"/>
        <v>179333333.33333364</v>
      </c>
    </row>
    <row r="39" spans="6:10" x14ac:dyDescent="0.3">
      <c r="F39">
        <v>32</v>
      </c>
      <c r="G39" s="5">
        <f t="shared" si="1"/>
        <v>943597.17364803154</v>
      </c>
      <c r="H39" s="5">
        <f t="shared" si="2"/>
        <v>1610263.8403146982</v>
      </c>
      <c r="I39" s="6">
        <f t="shared" si="3"/>
        <v>666666.66666666663</v>
      </c>
      <c r="J39" s="6">
        <f t="shared" si="4"/>
        <v>178666666.66666698</v>
      </c>
    </row>
    <row r="40" spans="6:10" x14ac:dyDescent="0.3">
      <c r="F40">
        <v>33</v>
      </c>
      <c r="G40" s="5">
        <f t="shared" si="1"/>
        <v>940089.37746346637</v>
      </c>
      <c r="H40" s="5">
        <f t="shared" si="2"/>
        <v>1606756.044130133</v>
      </c>
      <c r="I40" s="6">
        <f t="shared" si="3"/>
        <v>666666.66666666663</v>
      </c>
      <c r="J40" s="6">
        <f t="shared" si="4"/>
        <v>178000000.00000033</v>
      </c>
    </row>
    <row r="41" spans="6:10" x14ac:dyDescent="0.3">
      <c r="F41">
        <v>34</v>
      </c>
      <c r="G41" s="5">
        <f t="shared" si="1"/>
        <v>936581.58127890131</v>
      </c>
      <c r="H41" s="5">
        <f t="shared" si="2"/>
        <v>1603248.2479455681</v>
      </c>
      <c r="I41" s="6">
        <f t="shared" si="3"/>
        <v>666666.66666666663</v>
      </c>
      <c r="J41" s="6">
        <f t="shared" si="4"/>
        <v>177333333.33333367</v>
      </c>
    </row>
    <row r="42" spans="6:10" x14ac:dyDescent="0.3">
      <c r="F42">
        <v>35</v>
      </c>
      <c r="G42" s="5">
        <f t="shared" si="1"/>
        <v>933073.78509433614</v>
      </c>
      <c r="H42" s="5">
        <f t="shared" si="2"/>
        <v>1599740.4517610027</v>
      </c>
      <c r="I42" s="6">
        <f t="shared" si="3"/>
        <v>666666.66666666663</v>
      </c>
      <c r="J42" s="6">
        <f t="shared" si="4"/>
        <v>176666666.66666701</v>
      </c>
    </row>
    <row r="43" spans="6:10" x14ac:dyDescent="0.3">
      <c r="F43">
        <v>36</v>
      </c>
      <c r="G43" s="5">
        <f t="shared" si="1"/>
        <v>929565.98890977108</v>
      </c>
      <c r="H43" s="5">
        <f t="shared" si="2"/>
        <v>1596232.6555764377</v>
      </c>
      <c r="I43" s="6">
        <f t="shared" si="3"/>
        <v>666666.66666666663</v>
      </c>
      <c r="J43" s="6">
        <f t="shared" si="4"/>
        <v>176000000.00000036</v>
      </c>
    </row>
    <row r="44" spans="6:10" x14ac:dyDescent="0.3">
      <c r="F44">
        <v>37</v>
      </c>
      <c r="G44" s="5">
        <f t="shared" si="1"/>
        <v>926058.19272520591</v>
      </c>
      <c r="H44" s="5">
        <f t="shared" si="2"/>
        <v>1592724.8593918725</v>
      </c>
      <c r="I44" s="6">
        <f t="shared" si="3"/>
        <v>666666.66666666663</v>
      </c>
      <c r="J44" s="6">
        <f t="shared" si="4"/>
        <v>175333333.3333337</v>
      </c>
    </row>
    <row r="45" spans="6:10" x14ac:dyDescent="0.3">
      <c r="F45">
        <v>38</v>
      </c>
      <c r="G45" s="5">
        <f t="shared" si="1"/>
        <v>922550.39654064085</v>
      </c>
      <c r="H45" s="5">
        <f t="shared" si="2"/>
        <v>1589217.0632073074</v>
      </c>
      <c r="I45" s="6">
        <f t="shared" si="3"/>
        <v>666666.66666666663</v>
      </c>
      <c r="J45" s="6">
        <f t="shared" si="4"/>
        <v>174666666.66666704</v>
      </c>
    </row>
    <row r="46" spans="6:10" x14ac:dyDescent="0.3">
      <c r="F46">
        <v>39</v>
      </c>
      <c r="G46" s="5">
        <f t="shared" si="1"/>
        <v>919042.60035607568</v>
      </c>
      <c r="H46" s="5">
        <f t="shared" si="2"/>
        <v>1585709.2670227424</v>
      </c>
      <c r="I46" s="6">
        <f t="shared" si="3"/>
        <v>666666.66666666663</v>
      </c>
      <c r="J46" s="6">
        <f t="shared" si="4"/>
        <v>174000000.00000039</v>
      </c>
    </row>
    <row r="47" spans="6:10" x14ac:dyDescent="0.3">
      <c r="F47">
        <v>40</v>
      </c>
      <c r="G47" s="5">
        <f t="shared" si="1"/>
        <v>915534.80417151062</v>
      </c>
      <c r="H47" s="5">
        <f t="shared" si="2"/>
        <v>1582201.4708381773</v>
      </c>
      <c r="I47" s="6">
        <f t="shared" si="3"/>
        <v>666666.66666666663</v>
      </c>
      <c r="J47" s="6">
        <f t="shared" si="4"/>
        <v>173333333.33333373</v>
      </c>
    </row>
    <row r="48" spans="6:10" x14ac:dyDescent="0.3">
      <c r="F48">
        <v>41</v>
      </c>
      <c r="G48" s="5">
        <f t="shared" si="1"/>
        <v>912027.00798694545</v>
      </c>
      <c r="H48" s="5">
        <f t="shared" si="2"/>
        <v>1578693.6746536121</v>
      </c>
      <c r="I48" s="6">
        <f t="shared" si="3"/>
        <v>666666.66666666663</v>
      </c>
      <c r="J48" s="6">
        <f t="shared" si="4"/>
        <v>172666666.66666707</v>
      </c>
    </row>
    <row r="49" spans="6:10" x14ac:dyDescent="0.3">
      <c r="F49">
        <v>42</v>
      </c>
      <c r="G49" s="5">
        <f t="shared" si="1"/>
        <v>908519.21180238039</v>
      </c>
      <c r="H49" s="5">
        <f t="shared" si="2"/>
        <v>1575185.8784690471</v>
      </c>
      <c r="I49" s="6">
        <f t="shared" si="3"/>
        <v>666666.66666666663</v>
      </c>
      <c r="J49" s="6">
        <f t="shared" si="4"/>
        <v>172000000.00000042</v>
      </c>
    </row>
    <row r="50" spans="6:10" x14ac:dyDescent="0.3">
      <c r="F50">
        <v>43</v>
      </c>
      <c r="G50" s="5">
        <f t="shared" si="1"/>
        <v>905011.41561781522</v>
      </c>
      <c r="H50" s="5">
        <f t="shared" si="2"/>
        <v>1571678.0822844817</v>
      </c>
      <c r="I50" s="6">
        <f t="shared" si="3"/>
        <v>666666.66666666663</v>
      </c>
      <c r="J50" s="6">
        <f t="shared" si="4"/>
        <v>171333333.33333376</v>
      </c>
    </row>
    <row r="51" spans="6:10" x14ac:dyDescent="0.3">
      <c r="F51">
        <v>44</v>
      </c>
      <c r="G51" s="5">
        <f t="shared" si="1"/>
        <v>901503.61943325016</v>
      </c>
      <c r="H51" s="5">
        <f t="shared" si="2"/>
        <v>1568170.2860999168</v>
      </c>
      <c r="I51" s="6">
        <f t="shared" si="3"/>
        <v>666666.66666666663</v>
      </c>
      <c r="J51" s="6">
        <f t="shared" si="4"/>
        <v>170666666.6666671</v>
      </c>
    </row>
    <row r="52" spans="6:10" x14ac:dyDescent="0.3">
      <c r="F52">
        <v>45</v>
      </c>
      <c r="G52" s="5">
        <f t="shared" si="1"/>
        <v>897995.82324868499</v>
      </c>
      <c r="H52" s="5">
        <f t="shared" si="2"/>
        <v>1564662.4899153516</v>
      </c>
      <c r="I52" s="6">
        <f t="shared" si="3"/>
        <v>666666.66666666663</v>
      </c>
      <c r="J52" s="6">
        <f t="shared" si="4"/>
        <v>170000000.00000045</v>
      </c>
    </row>
    <row r="53" spans="6:10" x14ac:dyDescent="0.3">
      <c r="F53">
        <v>46</v>
      </c>
      <c r="G53" s="5">
        <f t="shared" si="1"/>
        <v>894488.02706411993</v>
      </c>
      <c r="H53" s="5">
        <f t="shared" si="2"/>
        <v>1561154.6937307864</v>
      </c>
      <c r="I53" s="6">
        <f t="shared" si="3"/>
        <v>666666.66666666663</v>
      </c>
      <c r="J53" s="6">
        <f t="shared" si="4"/>
        <v>169333333.33333379</v>
      </c>
    </row>
    <row r="54" spans="6:10" x14ac:dyDescent="0.3">
      <c r="F54">
        <v>47</v>
      </c>
      <c r="G54" s="5">
        <f t="shared" si="1"/>
        <v>890980.23087955476</v>
      </c>
      <c r="H54" s="5">
        <f t="shared" si="2"/>
        <v>1557646.8975462215</v>
      </c>
      <c r="I54" s="6">
        <f t="shared" si="3"/>
        <v>666666.66666666663</v>
      </c>
      <c r="J54" s="6">
        <f t="shared" si="4"/>
        <v>168666666.66666713</v>
      </c>
    </row>
    <row r="55" spans="6:10" x14ac:dyDescent="0.3">
      <c r="F55">
        <v>48</v>
      </c>
      <c r="G55" s="5">
        <f t="shared" si="1"/>
        <v>887472.4346949897</v>
      </c>
      <c r="H55" s="5">
        <f t="shared" si="2"/>
        <v>1554139.1013616563</v>
      </c>
      <c r="I55" s="6">
        <f t="shared" si="3"/>
        <v>666666.66666666663</v>
      </c>
      <c r="J55" s="6">
        <f t="shared" si="4"/>
        <v>168000000.00000048</v>
      </c>
    </row>
    <row r="56" spans="6:10" x14ac:dyDescent="0.3">
      <c r="F56">
        <v>49</v>
      </c>
      <c r="G56" s="5">
        <f t="shared" si="1"/>
        <v>883964.63851042453</v>
      </c>
      <c r="H56" s="5">
        <f t="shared" si="2"/>
        <v>1550631.3051770912</v>
      </c>
      <c r="I56" s="6">
        <f t="shared" si="3"/>
        <v>666666.66666666663</v>
      </c>
      <c r="J56" s="6">
        <f t="shared" si="4"/>
        <v>167333333.33333382</v>
      </c>
    </row>
    <row r="57" spans="6:10" x14ac:dyDescent="0.3">
      <c r="F57">
        <v>50</v>
      </c>
      <c r="G57" s="5">
        <f t="shared" si="1"/>
        <v>880456.84232585947</v>
      </c>
      <c r="H57" s="5">
        <f t="shared" si="2"/>
        <v>1547123.5089925262</v>
      </c>
      <c r="I57" s="6">
        <f t="shared" si="3"/>
        <v>666666.66666666663</v>
      </c>
      <c r="J57" s="6">
        <f t="shared" si="4"/>
        <v>166666666.66666716</v>
      </c>
    </row>
    <row r="58" spans="6:10" x14ac:dyDescent="0.3">
      <c r="F58">
        <v>51</v>
      </c>
      <c r="G58" s="5">
        <f t="shared" si="1"/>
        <v>876949.0461412943</v>
      </c>
      <c r="H58" s="5">
        <f t="shared" si="2"/>
        <v>1543615.7128079608</v>
      </c>
      <c r="I58" s="6">
        <f t="shared" si="3"/>
        <v>666666.66666666663</v>
      </c>
      <c r="J58" s="6">
        <f t="shared" si="4"/>
        <v>166000000.00000051</v>
      </c>
    </row>
    <row r="59" spans="6:10" x14ac:dyDescent="0.3">
      <c r="F59">
        <v>52</v>
      </c>
      <c r="G59" s="5">
        <f t="shared" si="1"/>
        <v>873441.24995672924</v>
      </c>
      <c r="H59" s="5">
        <f t="shared" si="2"/>
        <v>1540107.9166233959</v>
      </c>
      <c r="I59" s="6">
        <f t="shared" si="3"/>
        <v>666666.66666666663</v>
      </c>
      <c r="J59" s="6">
        <f t="shared" si="4"/>
        <v>165333333.33333385</v>
      </c>
    </row>
    <row r="60" spans="6:10" x14ac:dyDescent="0.3">
      <c r="F60">
        <v>53</v>
      </c>
      <c r="G60" s="5">
        <f t="shared" si="1"/>
        <v>869933.45377216407</v>
      </c>
      <c r="H60" s="5">
        <f t="shared" si="2"/>
        <v>1536600.1204388307</v>
      </c>
      <c r="I60" s="6">
        <f t="shared" si="3"/>
        <v>666666.66666666663</v>
      </c>
      <c r="J60" s="6">
        <f t="shared" si="4"/>
        <v>164666666.66666719</v>
      </c>
    </row>
    <row r="61" spans="6:10" x14ac:dyDescent="0.3">
      <c r="F61">
        <v>54</v>
      </c>
      <c r="G61" s="5">
        <f t="shared" si="1"/>
        <v>866425.65758759901</v>
      </c>
      <c r="H61" s="5">
        <f t="shared" si="2"/>
        <v>1533092.3242542655</v>
      </c>
      <c r="I61" s="6">
        <f t="shared" si="3"/>
        <v>666666.66666666663</v>
      </c>
      <c r="J61" s="6">
        <f t="shared" si="4"/>
        <v>164000000.00000054</v>
      </c>
    </row>
    <row r="62" spans="6:10" x14ac:dyDescent="0.3">
      <c r="F62">
        <v>55</v>
      </c>
      <c r="G62" s="5">
        <f t="shared" si="1"/>
        <v>862917.86140303384</v>
      </c>
      <c r="H62" s="5">
        <f t="shared" si="2"/>
        <v>1529584.5280697006</v>
      </c>
      <c r="I62" s="6">
        <f t="shared" si="3"/>
        <v>666666.66666666663</v>
      </c>
      <c r="J62" s="6">
        <f t="shared" si="4"/>
        <v>163333333.33333388</v>
      </c>
    </row>
    <row r="63" spans="6:10" x14ac:dyDescent="0.3">
      <c r="F63">
        <v>56</v>
      </c>
      <c r="G63" s="5">
        <f t="shared" si="1"/>
        <v>859410.06521846878</v>
      </c>
      <c r="H63" s="5">
        <f t="shared" si="2"/>
        <v>1526076.7318851354</v>
      </c>
      <c r="I63" s="6">
        <f t="shared" si="3"/>
        <v>666666.66666666663</v>
      </c>
      <c r="J63" s="6">
        <f t="shared" si="4"/>
        <v>162666666.66666722</v>
      </c>
    </row>
    <row r="64" spans="6:10" x14ac:dyDescent="0.3">
      <c r="F64">
        <v>57</v>
      </c>
      <c r="G64" s="5">
        <f t="shared" si="1"/>
        <v>855902.26903390361</v>
      </c>
      <c r="H64" s="5">
        <f t="shared" si="2"/>
        <v>1522568.9357005702</v>
      </c>
      <c r="I64" s="6">
        <f t="shared" si="3"/>
        <v>666666.66666666663</v>
      </c>
      <c r="J64" s="6">
        <f t="shared" si="4"/>
        <v>162000000.00000057</v>
      </c>
    </row>
    <row r="65" spans="6:10" x14ac:dyDescent="0.3">
      <c r="F65">
        <v>58</v>
      </c>
      <c r="G65" s="5">
        <f t="shared" si="1"/>
        <v>852394.47284933855</v>
      </c>
      <c r="H65" s="5">
        <f t="shared" si="2"/>
        <v>1519061.1395160053</v>
      </c>
      <c r="I65" s="6">
        <f t="shared" si="3"/>
        <v>666666.66666666663</v>
      </c>
      <c r="J65" s="6">
        <f t="shared" si="4"/>
        <v>161333333.33333391</v>
      </c>
    </row>
    <row r="66" spans="6:10" x14ac:dyDescent="0.3">
      <c r="F66">
        <v>59</v>
      </c>
      <c r="G66" s="5">
        <f t="shared" si="1"/>
        <v>848886.67666477337</v>
      </c>
      <c r="H66" s="5">
        <f t="shared" si="2"/>
        <v>1515553.3433314399</v>
      </c>
      <c r="I66" s="6">
        <f t="shared" si="3"/>
        <v>666666.66666666663</v>
      </c>
      <c r="J66" s="6">
        <f t="shared" si="4"/>
        <v>160666666.66666725</v>
      </c>
    </row>
    <row r="67" spans="6:10" x14ac:dyDescent="0.3">
      <c r="F67">
        <v>60</v>
      </c>
      <c r="G67" s="5">
        <f t="shared" si="1"/>
        <v>845378.88048020832</v>
      </c>
      <c r="H67" s="5">
        <f t="shared" si="2"/>
        <v>1512045.5471468749</v>
      </c>
      <c r="I67" s="6">
        <f t="shared" si="3"/>
        <v>666666.66666666663</v>
      </c>
      <c r="J67" s="6">
        <f t="shared" si="4"/>
        <v>160000000.0000006</v>
      </c>
    </row>
    <row r="68" spans="6:10" x14ac:dyDescent="0.3">
      <c r="F68">
        <v>61</v>
      </c>
      <c r="G68" s="5">
        <f t="shared" si="1"/>
        <v>841871.08429564314</v>
      </c>
      <c r="H68" s="5">
        <f t="shared" si="2"/>
        <v>1508537.7509623098</v>
      </c>
      <c r="I68" s="6">
        <f t="shared" si="3"/>
        <v>666666.66666666663</v>
      </c>
      <c r="J68" s="6">
        <f t="shared" si="4"/>
        <v>159333333.33333394</v>
      </c>
    </row>
    <row r="69" spans="6:10" x14ac:dyDescent="0.3">
      <c r="F69">
        <v>62</v>
      </c>
      <c r="G69" s="5">
        <f t="shared" si="1"/>
        <v>838363.28811107809</v>
      </c>
      <c r="H69" s="5">
        <f t="shared" si="2"/>
        <v>1505029.9547777446</v>
      </c>
      <c r="I69" s="6">
        <f t="shared" si="3"/>
        <v>666666.66666666663</v>
      </c>
      <c r="J69" s="6">
        <f t="shared" si="4"/>
        <v>158666666.66666728</v>
      </c>
    </row>
    <row r="70" spans="6:10" x14ac:dyDescent="0.3">
      <c r="F70">
        <v>63</v>
      </c>
      <c r="G70" s="5">
        <f t="shared" si="1"/>
        <v>834855.49192651291</v>
      </c>
      <c r="H70" s="5">
        <f t="shared" si="2"/>
        <v>1501522.1585931797</v>
      </c>
      <c r="I70" s="6">
        <f t="shared" si="3"/>
        <v>666666.66666666663</v>
      </c>
      <c r="J70" s="6">
        <f t="shared" si="4"/>
        <v>158000000.00000063</v>
      </c>
    </row>
    <row r="71" spans="6:10" x14ac:dyDescent="0.3">
      <c r="F71">
        <v>64</v>
      </c>
      <c r="G71" s="5">
        <f t="shared" si="1"/>
        <v>831347.69574194786</v>
      </c>
      <c r="H71" s="5">
        <f t="shared" si="2"/>
        <v>1498014.3624086145</v>
      </c>
      <c r="I71" s="6">
        <f t="shared" si="3"/>
        <v>666666.66666666663</v>
      </c>
      <c r="J71" s="6">
        <f t="shared" si="4"/>
        <v>157333333.33333397</v>
      </c>
    </row>
    <row r="72" spans="6:10" x14ac:dyDescent="0.3">
      <c r="F72">
        <v>65</v>
      </c>
      <c r="G72" s="5">
        <f t="shared" si="1"/>
        <v>827839.89955738268</v>
      </c>
      <c r="H72" s="5">
        <f t="shared" si="2"/>
        <v>1494506.5662240493</v>
      </c>
      <c r="I72" s="6">
        <f t="shared" si="3"/>
        <v>666666.66666666663</v>
      </c>
      <c r="J72" s="6">
        <f t="shared" si="4"/>
        <v>156666666.66666731</v>
      </c>
    </row>
    <row r="73" spans="6:10" x14ac:dyDescent="0.3">
      <c r="F73">
        <v>66</v>
      </c>
      <c r="G73" s="5">
        <f t="shared" ref="G73:G136" si="5">J72*$H$4</f>
        <v>824332.10337281763</v>
      </c>
      <c r="H73" s="5">
        <f t="shared" ref="H73:H136" si="6">G73+I73</f>
        <v>1490998.7700394844</v>
      </c>
      <c r="I73" s="6">
        <f t="shared" ref="I73:I136" si="7">$J$7/($G$3*12)</f>
        <v>666666.66666666663</v>
      </c>
      <c r="J73" s="6">
        <f t="shared" ref="J73:J136" si="8">J72-I73</f>
        <v>156000000.00000066</v>
      </c>
    </row>
    <row r="74" spans="6:10" x14ac:dyDescent="0.3">
      <c r="F74">
        <v>67</v>
      </c>
      <c r="G74" s="5">
        <f t="shared" si="5"/>
        <v>820824.30718825245</v>
      </c>
      <c r="H74" s="5">
        <f t="shared" si="6"/>
        <v>1487490.973854919</v>
      </c>
      <c r="I74" s="6">
        <f t="shared" si="7"/>
        <v>666666.66666666663</v>
      </c>
      <c r="J74" s="6">
        <f t="shared" si="8"/>
        <v>155333333.333334</v>
      </c>
    </row>
    <row r="75" spans="6:10" x14ac:dyDescent="0.3">
      <c r="F75">
        <v>68</v>
      </c>
      <c r="G75" s="5">
        <f t="shared" si="5"/>
        <v>817316.5110036874</v>
      </c>
      <c r="H75" s="5">
        <f t="shared" si="6"/>
        <v>1483983.177670354</v>
      </c>
      <c r="I75" s="6">
        <f t="shared" si="7"/>
        <v>666666.66666666663</v>
      </c>
      <c r="J75" s="6">
        <f t="shared" si="8"/>
        <v>154666666.66666734</v>
      </c>
    </row>
    <row r="76" spans="6:10" x14ac:dyDescent="0.3">
      <c r="F76">
        <v>69</v>
      </c>
      <c r="G76" s="5">
        <f t="shared" si="5"/>
        <v>813808.71481912222</v>
      </c>
      <c r="H76" s="5">
        <f t="shared" si="6"/>
        <v>1480475.3814857889</v>
      </c>
      <c r="I76" s="6">
        <f t="shared" si="7"/>
        <v>666666.66666666663</v>
      </c>
      <c r="J76" s="6">
        <f t="shared" si="8"/>
        <v>154000000.00000069</v>
      </c>
    </row>
    <row r="77" spans="6:10" x14ac:dyDescent="0.3">
      <c r="F77">
        <v>70</v>
      </c>
      <c r="G77" s="5">
        <f t="shared" si="5"/>
        <v>810300.91863455717</v>
      </c>
      <c r="H77" s="5">
        <f t="shared" si="6"/>
        <v>1476967.5853012237</v>
      </c>
      <c r="I77" s="6">
        <f t="shared" si="7"/>
        <v>666666.66666666663</v>
      </c>
      <c r="J77" s="6">
        <f t="shared" si="8"/>
        <v>153333333.33333403</v>
      </c>
    </row>
    <row r="78" spans="6:10" x14ac:dyDescent="0.3">
      <c r="F78">
        <v>71</v>
      </c>
      <c r="G78" s="5">
        <f t="shared" si="5"/>
        <v>806793.12244999199</v>
      </c>
      <c r="H78" s="5">
        <f t="shared" si="6"/>
        <v>1473459.7891166587</v>
      </c>
      <c r="I78" s="6">
        <f t="shared" si="7"/>
        <v>666666.66666666663</v>
      </c>
      <c r="J78" s="6">
        <f t="shared" si="8"/>
        <v>152666666.66666737</v>
      </c>
    </row>
    <row r="79" spans="6:10" x14ac:dyDescent="0.3">
      <c r="F79">
        <v>72</v>
      </c>
      <c r="G79" s="5">
        <f t="shared" si="5"/>
        <v>803285.32626542693</v>
      </c>
      <c r="H79" s="5">
        <f t="shared" si="6"/>
        <v>1469951.9929320936</v>
      </c>
      <c r="I79" s="6">
        <f t="shared" si="7"/>
        <v>666666.66666666663</v>
      </c>
      <c r="J79" s="6">
        <f t="shared" si="8"/>
        <v>152000000.00000072</v>
      </c>
    </row>
    <row r="80" spans="6:10" x14ac:dyDescent="0.3">
      <c r="F80">
        <v>73</v>
      </c>
      <c r="G80" s="5">
        <f t="shared" si="5"/>
        <v>799777.53008086188</v>
      </c>
      <c r="H80" s="5">
        <f t="shared" si="6"/>
        <v>1466444.1967475284</v>
      </c>
      <c r="I80" s="6">
        <f t="shared" si="7"/>
        <v>666666.66666666663</v>
      </c>
      <c r="J80" s="6">
        <f t="shared" si="8"/>
        <v>151333333.33333406</v>
      </c>
    </row>
    <row r="81" spans="6:10" x14ac:dyDescent="0.3">
      <c r="F81">
        <v>74</v>
      </c>
      <c r="G81" s="5">
        <f t="shared" si="5"/>
        <v>796269.7338962967</v>
      </c>
      <c r="H81" s="5">
        <f t="shared" si="6"/>
        <v>1462936.4005629634</v>
      </c>
      <c r="I81" s="6">
        <f t="shared" si="7"/>
        <v>666666.66666666663</v>
      </c>
      <c r="J81" s="6">
        <f t="shared" si="8"/>
        <v>150666666.6666674</v>
      </c>
    </row>
    <row r="82" spans="6:10" x14ac:dyDescent="0.3">
      <c r="F82">
        <v>75</v>
      </c>
      <c r="G82" s="5">
        <f t="shared" si="5"/>
        <v>792761.93771173165</v>
      </c>
      <c r="H82" s="5">
        <f t="shared" si="6"/>
        <v>1459428.6043783983</v>
      </c>
      <c r="I82" s="6">
        <f t="shared" si="7"/>
        <v>666666.66666666663</v>
      </c>
      <c r="J82" s="6">
        <f t="shared" si="8"/>
        <v>150000000.00000075</v>
      </c>
    </row>
    <row r="83" spans="6:10" x14ac:dyDescent="0.3">
      <c r="F83">
        <v>76</v>
      </c>
      <c r="G83" s="5">
        <f t="shared" si="5"/>
        <v>789254.14152716647</v>
      </c>
      <c r="H83" s="5">
        <f t="shared" si="6"/>
        <v>1455920.8081938331</v>
      </c>
      <c r="I83" s="6">
        <f t="shared" si="7"/>
        <v>666666.66666666663</v>
      </c>
      <c r="J83" s="6">
        <f t="shared" si="8"/>
        <v>149333333.33333409</v>
      </c>
    </row>
    <row r="84" spans="6:10" x14ac:dyDescent="0.3">
      <c r="F84">
        <v>77</v>
      </c>
      <c r="G84" s="5">
        <f t="shared" si="5"/>
        <v>785746.34534260142</v>
      </c>
      <c r="H84" s="5">
        <f t="shared" si="6"/>
        <v>1452413.0120092682</v>
      </c>
      <c r="I84" s="6">
        <f t="shared" si="7"/>
        <v>666666.66666666663</v>
      </c>
      <c r="J84" s="6">
        <f t="shared" si="8"/>
        <v>148666666.66666743</v>
      </c>
    </row>
    <row r="85" spans="6:10" x14ac:dyDescent="0.3">
      <c r="F85">
        <v>78</v>
      </c>
      <c r="G85" s="5">
        <f t="shared" si="5"/>
        <v>782238.54915803624</v>
      </c>
      <c r="H85" s="5">
        <f t="shared" si="6"/>
        <v>1448905.2158247028</v>
      </c>
      <c r="I85" s="6">
        <f t="shared" si="7"/>
        <v>666666.66666666663</v>
      </c>
      <c r="J85" s="6">
        <f t="shared" si="8"/>
        <v>148000000.00000077</v>
      </c>
    </row>
    <row r="86" spans="6:10" x14ac:dyDescent="0.3">
      <c r="F86">
        <v>79</v>
      </c>
      <c r="G86" s="5">
        <f t="shared" si="5"/>
        <v>778730.75297347119</v>
      </c>
      <c r="H86" s="5">
        <f t="shared" si="6"/>
        <v>1445397.4196401378</v>
      </c>
      <c r="I86" s="6">
        <f t="shared" si="7"/>
        <v>666666.66666666663</v>
      </c>
      <c r="J86" s="6">
        <f t="shared" si="8"/>
        <v>147333333.33333412</v>
      </c>
    </row>
    <row r="87" spans="6:10" x14ac:dyDescent="0.3">
      <c r="F87">
        <v>80</v>
      </c>
      <c r="G87" s="5">
        <f t="shared" si="5"/>
        <v>775222.95678890601</v>
      </c>
      <c r="H87" s="5">
        <f t="shared" si="6"/>
        <v>1441889.6234555726</v>
      </c>
      <c r="I87" s="6">
        <f t="shared" si="7"/>
        <v>666666.66666666663</v>
      </c>
      <c r="J87" s="6">
        <f t="shared" si="8"/>
        <v>146666666.66666746</v>
      </c>
    </row>
    <row r="88" spans="6:10" x14ac:dyDescent="0.3">
      <c r="F88">
        <v>81</v>
      </c>
      <c r="G88" s="5">
        <f t="shared" si="5"/>
        <v>771715.16060434096</v>
      </c>
      <c r="H88" s="5">
        <f t="shared" si="6"/>
        <v>1438381.8272710075</v>
      </c>
      <c r="I88" s="6">
        <f t="shared" si="7"/>
        <v>666666.66666666663</v>
      </c>
      <c r="J88" s="6">
        <f t="shared" si="8"/>
        <v>146000000.0000008</v>
      </c>
    </row>
    <row r="89" spans="6:10" x14ac:dyDescent="0.3">
      <c r="F89">
        <v>82</v>
      </c>
      <c r="G89" s="5">
        <f t="shared" si="5"/>
        <v>768207.36441977578</v>
      </c>
      <c r="H89" s="5">
        <f t="shared" si="6"/>
        <v>1434874.0310864425</v>
      </c>
      <c r="I89" s="6">
        <f t="shared" si="7"/>
        <v>666666.66666666663</v>
      </c>
      <c r="J89" s="6">
        <f t="shared" si="8"/>
        <v>145333333.33333415</v>
      </c>
    </row>
    <row r="90" spans="6:10" x14ac:dyDescent="0.3">
      <c r="F90">
        <v>83</v>
      </c>
      <c r="G90" s="5">
        <f t="shared" si="5"/>
        <v>764699.56823521073</v>
      </c>
      <c r="H90" s="5">
        <f t="shared" si="6"/>
        <v>1431366.2349018774</v>
      </c>
      <c r="I90" s="6">
        <f t="shared" si="7"/>
        <v>666666.66666666663</v>
      </c>
      <c r="J90" s="6">
        <f t="shared" si="8"/>
        <v>144666666.66666749</v>
      </c>
    </row>
    <row r="91" spans="6:10" x14ac:dyDescent="0.3">
      <c r="F91">
        <v>84</v>
      </c>
      <c r="G91" s="5">
        <f t="shared" si="5"/>
        <v>761191.77205064555</v>
      </c>
      <c r="H91" s="5">
        <f t="shared" si="6"/>
        <v>1427858.4387173122</v>
      </c>
      <c r="I91" s="6">
        <f t="shared" si="7"/>
        <v>666666.66666666663</v>
      </c>
      <c r="J91" s="6">
        <f t="shared" si="8"/>
        <v>144000000.00000083</v>
      </c>
    </row>
    <row r="92" spans="6:10" x14ac:dyDescent="0.3">
      <c r="F92">
        <v>85</v>
      </c>
      <c r="G92" s="5">
        <f t="shared" si="5"/>
        <v>757683.97586608049</v>
      </c>
      <c r="H92" s="5">
        <f t="shared" si="6"/>
        <v>1424350.6425327472</v>
      </c>
      <c r="I92" s="6">
        <f t="shared" si="7"/>
        <v>666666.66666666663</v>
      </c>
      <c r="J92" s="6">
        <f t="shared" si="8"/>
        <v>143333333.33333418</v>
      </c>
    </row>
    <row r="93" spans="6:10" x14ac:dyDescent="0.3">
      <c r="F93">
        <v>86</v>
      </c>
      <c r="G93" s="5">
        <f t="shared" si="5"/>
        <v>754176.17968151532</v>
      </c>
      <c r="H93" s="5">
        <f t="shared" si="6"/>
        <v>1420842.8463481818</v>
      </c>
      <c r="I93" s="6">
        <f t="shared" si="7"/>
        <v>666666.66666666663</v>
      </c>
      <c r="J93" s="6">
        <f t="shared" si="8"/>
        <v>142666666.66666752</v>
      </c>
    </row>
    <row r="94" spans="6:10" x14ac:dyDescent="0.3">
      <c r="F94">
        <v>87</v>
      </c>
      <c r="G94" s="5">
        <f t="shared" si="5"/>
        <v>750668.38349695026</v>
      </c>
      <c r="H94" s="5">
        <f t="shared" si="6"/>
        <v>1417335.0501636169</v>
      </c>
      <c r="I94" s="6">
        <f t="shared" si="7"/>
        <v>666666.66666666663</v>
      </c>
      <c r="J94" s="6">
        <f t="shared" si="8"/>
        <v>142000000.00000086</v>
      </c>
    </row>
    <row r="95" spans="6:10" x14ac:dyDescent="0.3">
      <c r="F95">
        <v>88</v>
      </c>
      <c r="G95" s="5">
        <f t="shared" si="5"/>
        <v>747160.58731238509</v>
      </c>
      <c r="H95" s="5">
        <f t="shared" si="6"/>
        <v>1413827.2539790517</v>
      </c>
      <c r="I95" s="6">
        <f t="shared" si="7"/>
        <v>666666.66666666663</v>
      </c>
      <c r="J95" s="6">
        <f t="shared" si="8"/>
        <v>141333333.33333421</v>
      </c>
    </row>
    <row r="96" spans="6:10" x14ac:dyDescent="0.3">
      <c r="F96">
        <v>89</v>
      </c>
      <c r="G96" s="5">
        <f t="shared" si="5"/>
        <v>743652.79112782003</v>
      </c>
      <c r="H96" s="5">
        <f t="shared" si="6"/>
        <v>1410319.4577944865</v>
      </c>
      <c r="I96" s="6">
        <f t="shared" si="7"/>
        <v>666666.66666666663</v>
      </c>
      <c r="J96" s="6">
        <f t="shared" si="8"/>
        <v>140666666.66666755</v>
      </c>
    </row>
    <row r="97" spans="6:10" x14ac:dyDescent="0.3">
      <c r="F97">
        <v>90</v>
      </c>
      <c r="G97" s="5">
        <f t="shared" si="5"/>
        <v>740144.99494325486</v>
      </c>
      <c r="H97" s="5">
        <f t="shared" si="6"/>
        <v>1406811.6616099216</v>
      </c>
      <c r="I97" s="6">
        <f t="shared" si="7"/>
        <v>666666.66666666663</v>
      </c>
      <c r="J97" s="6">
        <f t="shared" si="8"/>
        <v>140000000.00000089</v>
      </c>
    </row>
    <row r="98" spans="6:10" x14ac:dyDescent="0.3">
      <c r="F98">
        <v>91</v>
      </c>
      <c r="G98" s="5">
        <f t="shared" si="5"/>
        <v>736637.1987586898</v>
      </c>
      <c r="H98" s="5">
        <f t="shared" si="6"/>
        <v>1403303.8654253564</v>
      </c>
      <c r="I98" s="6">
        <f t="shared" si="7"/>
        <v>666666.66666666663</v>
      </c>
      <c r="J98" s="6">
        <f t="shared" si="8"/>
        <v>139333333.33333424</v>
      </c>
    </row>
    <row r="99" spans="6:10" x14ac:dyDescent="0.3">
      <c r="F99">
        <v>92</v>
      </c>
      <c r="G99" s="5">
        <f t="shared" si="5"/>
        <v>733129.40257412463</v>
      </c>
      <c r="H99" s="5">
        <f t="shared" si="6"/>
        <v>1399796.0692407913</v>
      </c>
      <c r="I99" s="6">
        <f t="shared" si="7"/>
        <v>666666.66666666663</v>
      </c>
      <c r="J99" s="6">
        <f t="shared" si="8"/>
        <v>138666666.66666758</v>
      </c>
    </row>
    <row r="100" spans="6:10" x14ac:dyDescent="0.3">
      <c r="F100">
        <v>93</v>
      </c>
      <c r="G100" s="5">
        <f t="shared" si="5"/>
        <v>729621.60638955957</v>
      </c>
      <c r="H100" s="5">
        <f t="shared" si="6"/>
        <v>1396288.2730562263</v>
      </c>
      <c r="I100" s="6">
        <f t="shared" si="7"/>
        <v>666666.66666666663</v>
      </c>
      <c r="J100" s="6">
        <f t="shared" si="8"/>
        <v>138000000.00000092</v>
      </c>
    </row>
    <row r="101" spans="6:10" x14ac:dyDescent="0.3">
      <c r="F101">
        <v>94</v>
      </c>
      <c r="G101" s="5">
        <f t="shared" si="5"/>
        <v>726113.8102049944</v>
      </c>
      <c r="H101" s="5">
        <f t="shared" si="6"/>
        <v>1392780.4768716609</v>
      </c>
      <c r="I101" s="6">
        <f t="shared" si="7"/>
        <v>666666.66666666663</v>
      </c>
      <c r="J101" s="6">
        <f t="shared" si="8"/>
        <v>137333333.33333427</v>
      </c>
    </row>
    <row r="102" spans="6:10" x14ac:dyDescent="0.3">
      <c r="F102">
        <v>95</v>
      </c>
      <c r="G102" s="5">
        <f t="shared" si="5"/>
        <v>722606.01402042934</v>
      </c>
      <c r="H102" s="5">
        <f t="shared" si="6"/>
        <v>1389272.680687096</v>
      </c>
      <c r="I102" s="6">
        <f t="shared" si="7"/>
        <v>666666.66666666663</v>
      </c>
      <c r="J102" s="6">
        <f t="shared" si="8"/>
        <v>136666666.66666761</v>
      </c>
    </row>
    <row r="103" spans="6:10" x14ac:dyDescent="0.3">
      <c r="F103">
        <v>96</v>
      </c>
      <c r="G103" s="5">
        <f t="shared" si="5"/>
        <v>719098.21783586417</v>
      </c>
      <c r="H103" s="5">
        <f t="shared" si="6"/>
        <v>1385764.8845025308</v>
      </c>
      <c r="I103" s="6">
        <f t="shared" si="7"/>
        <v>666666.66666666663</v>
      </c>
      <c r="J103" s="6">
        <f t="shared" si="8"/>
        <v>136000000.00000095</v>
      </c>
    </row>
    <row r="104" spans="6:10" x14ac:dyDescent="0.3">
      <c r="F104">
        <v>97</v>
      </c>
      <c r="G104" s="5">
        <f t="shared" si="5"/>
        <v>715590.42165129911</v>
      </c>
      <c r="H104" s="5">
        <f t="shared" si="6"/>
        <v>1382257.0883179656</v>
      </c>
      <c r="I104" s="6">
        <f t="shared" si="7"/>
        <v>666666.66666666663</v>
      </c>
      <c r="J104" s="6">
        <f t="shared" si="8"/>
        <v>135333333.3333343</v>
      </c>
    </row>
    <row r="105" spans="6:10" x14ac:dyDescent="0.3">
      <c r="F105">
        <v>98</v>
      </c>
      <c r="G105" s="5">
        <f t="shared" si="5"/>
        <v>712082.62546673394</v>
      </c>
      <c r="H105" s="5">
        <f t="shared" si="6"/>
        <v>1378749.2921334007</v>
      </c>
      <c r="I105" s="6">
        <f t="shared" si="7"/>
        <v>666666.66666666663</v>
      </c>
      <c r="J105" s="6">
        <f t="shared" si="8"/>
        <v>134666666.66666764</v>
      </c>
    </row>
    <row r="106" spans="6:10" x14ac:dyDescent="0.3">
      <c r="F106">
        <v>99</v>
      </c>
      <c r="G106" s="5">
        <f t="shared" si="5"/>
        <v>708574.82928216888</v>
      </c>
      <c r="H106" s="5">
        <f t="shared" si="6"/>
        <v>1375241.4959488355</v>
      </c>
      <c r="I106" s="6">
        <f t="shared" si="7"/>
        <v>666666.66666666663</v>
      </c>
      <c r="J106" s="6">
        <f t="shared" si="8"/>
        <v>134000000.00000097</v>
      </c>
    </row>
    <row r="107" spans="6:10" x14ac:dyDescent="0.3">
      <c r="F107">
        <v>100</v>
      </c>
      <c r="G107" s="5">
        <f t="shared" si="5"/>
        <v>705067.03309760359</v>
      </c>
      <c r="H107" s="5">
        <f t="shared" si="6"/>
        <v>1371733.6997642703</v>
      </c>
      <c r="I107" s="6">
        <f t="shared" si="7"/>
        <v>666666.66666666663</v>
      </c>
      <c r="J107" s="6">
        <f t="shared" si="8"/>
        <v>133333333.3333343</v>
      </c>
    </row>
    <row r="108" spans="6:10" x14ac:dyDescent="0.3">
      <c r="F108">
        <v>101</v>
      </c>
      <c r="G108" s="5">
        <f t="shared" si="5"/>
        <v>701559.23691303842</v>
      </c>
      <c r="H108" s="5">
        <f t="shared" si="6"/>
        <v>1368225.9035797049</v>
      </c>
      <c r="I108" s="6">
        <f t="shared" si="7"/>
        <v>666666.66666666663</v>
      </c>
      <c r="J108" s="6">
        <f t="shared" si="8"/>
        <v>132666666.66666763</v>
      </c>
    </row>
    <row r="109" spans="6:10" x14ac:dyDescent="0.3">
      <c r="F109">
        <v>102</v>
      </c>
      <c r="G109" s="5">
        <f t="shared" si="5"/>
        <v>698051.44072847324</v>
      </c>
      <c r="H109" s="5">
        <f t="shared" si="6"/>
        <v>1364718.10739514</v>
      </c>
      <c r="I109" s="6">
        <f t="shared" si="7"/>
        <v>666666.66666666663</v>
      </c>
      <c r="J109" s="6">
        <f t="shared" si="8"/>
        <v>132000000.00000095</v>
      </c>
    </row>
    <row r="110" spans="6:10" x14ac:dyDescent="0.3">
      <c r="F110">
        <v>103</v>
      </c>
      <c r="G110" s="5">
        <f t="shared" si="5"/>
        <v>694543.64454390807</v>
      </c>
      <c r="H110" s="5">
        <f t="shared" si="6"/>
        <v>1361210.3112105746</v>
      </c>
      <c r="I110" s="6">
        <f t="shared" si="7"/>
        <v>666666.66666666663</v>
      </c>
      <c r="J110" s="6">
        <f t="shared" si="8"/>
        <v>131333333.33333428</v>
      </c>
    </row>
    <row r="111" spans="6:10" x14ac:dyDescent="0.3">
      <c r="F111">
        <v>104</v>
      </c>
      <c r="G111" s="5">
        <f t="shared" si="5"/>
        <v>691035.8483593429</v>
      </c>
      <c r="H111" s="5">
        <f t="shared" si="6"/>
        <v>1357702.5150260096</v>
      </c>
      <c r="I111" s="6">
        <f t="shared" si="7"/>
        <v>666666.66666666663</v>
      </c>
      <c r="J111" s="6">
        <f t="shared" si="8"/>
        <v>130666666.66666761</v>
      </c>
    </row>
    <row r="112" spans="6:10" x14ac:dyDescent="0.3">
      <c r="F112">
        <v>105</v>
      </c>
      <c r="G112" s="5">
        <f t="shared" si="5"/>
        <v>687528.05217477772</v>
      </c>
      <c r="H112" s="5">
        <f t="shared" si="6"/>
        <v>1354194.7188414442</v>
      </c>
      <c r="I112" s="6">
        <f t="shared" si="7"/>
        <v>666666.66666666663</v>
      </c>
      <c r="J112" s="6">
        <f t="shared" si="8"/>
        <v>130000000.00000094</v>
      </c>
    </row>
    <row r="113" spans="6:10" x14ac:dyDescent="0.3">
      <c r="F113">
        <v>106</v>
      </c>
      <c r="G113" s="5">
        <f t="shared" si="5"/>
        <v>684020.25599021243</v>
      </c>
      <c r="H113" s="5">
        <f t="shared" si="6"/>
        <v>1350686.9226568791</v>
      </c>
      <c r="I113" s="6">
        <f t="shared" si="7"/>
        <v>666666.66666666663</v>
      </c>
      <c r="J113" s="6">
        <f t="shared" si="8"/>
        <v>129333333.33333427</v>
      </c>
    </row>
    <row r="114" spans="6:10" x14ac:dyDescent="0.3">
      <c r="F114">
        <v>107</v>
      </c>
      <c r="G114" s="5">
        <f t="shared" si="5"/>
        <v>680512.45980564726</v>
      </c>
      <c r="H114" s="5">
        <f t="shared" si="6"/>
        <v>1347179.1264723139</v>
      </c>
      <c r="I114" s="6">
        <f t="shared" si="7"/>
        <v>666666.66666666663</v>
      </c>
      <c r="J114" s="6">
        <f t="shared" si="8"/>
        <v>128666666.6666676</v>
      </c>
    </row>
    <row r="115" spans="6:10" x14ac:dyDescent="0.3">
      <c r="F115">
        <v>108</v>
      </c>
      <c r="G115" s="5">
        <f t="shared" si="5"/>
        <v>677004.66362108209</v>
      </c>
      <c r="H115" s="5">
        <f t="shared" si="6"/>
        <v>1343671.3302877487</v>
      </c>
      <c r="I115" s="6">
        <f t="shared" si="7"/>
        <v>666666.66666666663</v>
      </c>
      <c r="J115" s="6">
        <f t="shared" si="8"/>
        <v>128000000.00000092</v>
      </c>
    </row>
    <row r="116" spans="6:10" x14ac:dyDescent="0.3">
      <c r="F116">
        <v>109</v>
      </c>
      <c r="G116" s="5">
        <f t="shared" si="5"/>
        <v>673496.86743651691</v>
      </c>
      <c r="H116" s="5">
        <f t="shared" si="6"/>
        <v>1340163.5341031835</v>
      </c>
      <c r="I116" s="6">
        <f t="shared" si="7"/>
        <v>666666.66666666663</v>
      </c>
      <c r="J116" s="6">
        <f t="shared" si="8"/>
        <v>127333333.33333425</v>
      </c>
    </row>
    <row r="117" spans="6:10" x14ac:dyDescent="0.3">
      <c r="F117">
        <v>110</v>
      </c>
      <c r="G117" s="5">
        <f t="shared" si="5"/>
        <v>669989.07125195174</v>
      </c>
      <c r="H117" s="5">
        <f t="shared" si="6"/>
        <v>1336655.7379186184</v>
      </c>
      <c r="I117" s="6">
        <f t="shared" si="7"/>
        <v>666666.66666666663</v>
      </c>
      <c r="J117" s="6">
        <f t="shared" si="8"/>
        <v>126666666.66666758</v>
      </c>
    </row>
    <row r="118" spans="6:10" x14ac:dyDescent="0.3">
      <c r="F118">
        <v>111</v>
      </c>
      <c r="G118" s="5">
        <f t="shared" si="5"/>
        <v>666481.27506738657</v>
      </c>
      <c r="H118" s="5">
        <f t="shared" si="6"/>
        <v>1333147.9417340532</v>
      </c>
      <c r="I118" s="6">
        <f t="shared" si="7"/>
        <v>666666.66666666663</v>
      </c>
      <c r="J118" s="6">
        <f t="shared" si="8"/>
        <v>126000000.00000091</v>
      </c>
    </row>
    <row r="119" spans="6:10" x14ac:dyDescent="0.3">
      <c r="F119">
        <v>112</v>
      </c>
      <c r="G119" s="5">
        <f t="shared" si="5"/>
        <v>662973.47888282128</v>
      </c>
      <c r="H119" s="5">
        <f t="shared" si="6"/>
        <v>1329640.1455494878</v>
      </c>
      <c r="I119" s="6">
        <f t="shared" si="7"/>
        <v>666666.66666666663</v>
      </c>
      <c r="J119" s="6">
        <f t="shared" si="8"/>
        <v>125333333.33333424</v>
      </c>
    </row>
    <row r="120" spans="6:10" x14ac:dyDescent="0.3">
      <c r="F120">
        <v>113</v>
      </c>
      <c r="G120" s="5">
        <f t="shared" si="5"/>
        <v>659465.6826982561</v>
      </c>
      <c r="H120" s="5">
        <f t="shared" si="6"/>
        <v>1326132.3493649228</v>
      </c>
      <c r="I120" s="6">
        <f t="shared" si="7"/>
        <v>666666.66666666663</v>
      </c>
      <c r="J120" s="6">
        <f t="shared" si="8"/>
        <v>124666666.66666757</v>
      </c>
    </row>
    <row r="121" spans="6:10" x14ac:dyDescent="0.3">
      <c r="F121">
        <v>114</v>
      </c>
      <c r="G121" s="5">
        <f t="shared" si="5"/>
        <v>655957.88651369093</v>
      </c>
      <c r="H121" s="5">
        <f t="shared" si="6"/>
        <v>1322624.5531803574</v>
      </c>
      <c r="I121" s="6">
        <f t="shared" si="7"/>
        <v>666666.66666666663</v>
      </c>
      <c r="J121" s="6">
        <f t="shared" si="8"/>
        <v>124000000.00000089</v>
      </c>
    </row>
    <row r="122" spans="6:10" x14ac:dyDescent="0.3">
      <c r="F122">
        <v>115</v>
      </c>
      <c r="G122" s="5">
        <f t="shared" si="5"/>
        <v>652450.09032912576</v>
      </c>
      <c r="H122" s="5">
        <f t="shared" si="6"/>
        <v>1319116.7569957925</v>
      </c>
      <c r="I122" s="6">
        <f t="shared" si="7"/>
        <v>666666.66666666663</v>
      </c>
      <c r="J122" s="6">
        <f t="shared" si="8"/>
        <v>123333333.33333422</v>
      </c>
    </row>
    <row r="123" spans="6:10" x14ac:dyDescent="0.3">
      <c r="F123">
        <v>116</v>
      </c>
      <c r="G123" s="5">
        <f t="shared" si="5"/>
        <v>648942.29414456058</v>
      </c>
      <c r="H123" s="5">
        <f t="shared" si="6"/>
        <v>1315608.9608112271</v>
      </c>
      <c r="I123" s="6">
        <f t="shared" si="7"/>
        <v>666666.66666666663</v>
      </c>
      <c r="J123" s="6">
        <f t="shared" si="8"/>
        <v>122666666.66666755</v>
      </c>
    </row>
    <row r="124" spans="6:10" x14ac:dyDescent="0.3">
      <c r="F124">
        <v>117</v>
      </c>
      <c r="G124" s="5">
        <f t="shared" si="5"/>
        <v>645434.49795999541</v>
      </c>
      <c r="H124" s="5">
        <f t="shared" si="6"/>
        <v>1312101.1646266622</v>
      </c>
      <c r="I124" s="6">
        <f t="shared" si="7"/>
        <v>666666.66666666663</v>
      </c>
      <c r="J124" s="6">
        <f t="shared" si="8"/>
        <v>122000000.00000088</v>
      </c>
    </row>
    <row r="125" spans="6:10" x14ac:dyDescent="0.3">
      <c r="F125">
        <v>118</v>
      </c>
      <c r="G125" s="5">
        <f t="shared" si="5"/>
        <v>641926.70177543012</v>
      </c>
      <c r="H125" s="5">
        <f t="shared" si="6"/>
        <v>1308593.3684420967</v>
      </c>
      <c r="I125" s="6">
        <f t="shared" si="7"/>
        <v>666666.66666666663</v>
      </c>
      <c r="J125" s="6">
        <f t="shared" si="8"/>
        <v>121333333.33333421</v>
      </c>
    </row>
    <row r="126" spans="6:10" x14ac:dyDescent="0.3">
      <c r="F126">
        <v>119</v>
      </c>
      <c r="G126" s="5">
        <f t="shared" si="5"/>
        <v>638418.90559086495</v>
      </c>
      <c r="H126" s="5">
        <f t="shared" si="6"/>
        <v>1305085.5722575316</v>
      </c>
      <c r="I126" s="6">
        <f t="shared" si="7"/>
        <v>666666.66666666663</v>
      </c>
      <c r="J126" s="6">
        <f t="shared" si="8"/>
        <v>120666666.66666754</v>
      </c>
    </row>
    <row r="127" spans="6:10" x14ac:dyDescent="0.3">
      <c r="F127">
        <v>120</v>
      </c>
      <c r="G127" s="5">
        <f t="shared" si="5"/>
        <v>634911.10940629977</v>
      </c>
      <c r="H127" s="5">
        <f t="shared" si="6"/>
        <v>1301577.7760729664</v>
      </c>
      <c r="I127" s="6">
        <f t="shared" si="7"/>
        <v>666666.66666666663</v>
      </c>
      <c r="J127" s="6">
        <f t="shared" si="8"/>
        <v>120000000.00000086</v>
      </c>
    </row>
    <row r="128" spans="6:10" x14ac:dyDescent="0.3">
      <c r="F128">
        <v>121</v>
      </c>
      <c r="G128" s="7">
        <f t="shared" si="5"/>
        <v>631403.3132217346</v>
      </c>
      <c r="H128" s="5">
        <f t="shared" si="6"/>
        <v>1298069.9798884012</v>
      </c>
      <c r="I128" s="6">
        <f t="shared" si="7"/>
        <v>666666.66666666663</v>
      </c>
      <c r="J128" s="6">
        <f t="shared" si="8"/>
        <v>119333333.33333419</v>
      </c>
    </row>
    <row r="129" spans="6:10" x14ac:dyDescent="0.3">
      <c r="F129">
        <v>122</v>
      </c>
      <c r="G129" s="5">
        <f t="shared" si="5"/>
        <v>627895.51703716943</v>
      </c>
      <c r="H129" s="5">
        <f t="shared" si="6"/>
        <v>1294562.1837038361</v>
      </c>
      <c r="I129" s="6">
        <f t="shared" si="7"/>
        <v>666666.66666666663</v>
      </c>
      <c r="J129" s="6">
        <f t="shared" si="8"/>
        <v>118666666.66666752</v>
      </c>
    </row>
    <row r="130" spans="6:10" x14ac:dyDescent="0.3">
      <c r="F130">
        <v>123</v>
      </c>
      <c r="G130" s="5">
        <f t="shared" si="5"/>
        <v>624387.72085260425</v>
      </c>
      <c r="H130" s="5">
        <f t="shared" si="6"/>
        <v>1291054.3875192709</v>
      </c>
      <c r="I130" s="6">
        <f t="shared" si="7"/>
        <v>666666.66666666663</v>
      </c>
      <c r="J130" s="6">
        <f t="shared" si="8"/>
        <v>118000000.00000085</v>
      </c>
    </row>
    <row r="131" spans="6:10" x14ac:dyDescent="0.3">
      <c r="F131">
        <v>124</v>
      </c>
      <c r="G131" s="5">
        <f t="shared" si="5"/>
        <v>620879.92466803896</v>
      </c>
      <c r="H131" s="5">
        <f t="shared" si="6"/>
        <v>1287546.5913347057</v>
      </c>
      <c r="I131" s="6">
        <f t="shared" si="7"/>
        <v>666666.66666666663</v>
      </c>
      <c r="J131" s="6">
        <f t="shared" si="8"/>
        <v>117333333.33333418</v>
      </c>
    </row>
    <row r="132" spans="6:10" x14ac:dyDescent="0.3">
      <c r="F132">
        <v>125</v>
      </c>
      <c r="G132" s="5">
        <f t="shared" si="5"/>
        <v>617372.12848347379</v>
      </c>
      <c r="H132" s="5">
        <f t="shared" si="6"/>
        <v>1284038.7951501403</v>
      </c>
      <c r="I132" s="6">
        <f t="shared" si="7"/>
        <v>666666.66666666663</v>
      </c>
      <c r="J132" s="6">
        <f t="shared" si="8"/>
        <v>116666666.66666751</v>
      </c>
    </row>
    <row r="133" spans="6:10" x14ac:dyDescent="0.3">
      <c r="F133">
        <v>126</v>
      </c>
      <c r="G133" s="5">
        <f t="shared" si="5"/>
        <v>613864.33229890862</v>
      </c>
      <c r="H133" s="5">
        <f t="shared" si="6"/>
        <v>1280530.9989655754</v>
      </c>
      <c r="I133" s="6">
        <f t="shared" si="7"/>
        <v>666666.66666666663</v>
      </c>
      <c r="J133" s="6">
        <f t="shared" si="8"/>
        <v>116000000.00000083</v>
      </c>
    </row>
    <row r="134" spans="6:10" x14ac:dyDescent="0.3">
      <c r="F134">
        <v>127</v>
      </c>
      <c r="G134" s="5">
        <f t="shared" si="5"/>
        <v>610356.53611434344</v>
      </c>
      <c r="H134" s="5">
        <f t="shared" si="6"/>
        <v>1277023.20278101</v>
      </c>
      <c r="I134" s="6">
        <f t="shared" si="7"/>
        <v>666666.66666666663</v>
      </c>
      <c r="J134" s="6">
        <f t="shared" si="8"/>
        <v>115333333.33333416</v>
      </c>
    </row>
    <row r="135" spans="6:10" x14ac:dyDescent="0.3">
      <c r="F135">
        <v>128</v>
      </c>
      <c r="G135" s="5">
        <f t="shared" si="5"/>
        <v>606848.73992977827</v>
      </c>
      <c r="H135" s="5">
        <f t="shared" si="6"/>
        <v>1273515.406596445</v>
      </c>
      <c r="I135" s="6">
        <f t="shared" si="7"/>
        <v>666666.66666666663</v>
      </c>
      <c r="J135" s="6">
        <f t="shared" si="8"/>
        <v>114666666.66666749</v>
      </c>
    </row>
    <row r="136" spans="6:10" x14ac:dyDescent="0.3">
      <c r="F136">
        <v>129</v>
      </c>
      <c r="G136" s="5">
        <f t="shared" si="5"/>
        <v>603340.9437452131</v>
      </c>
      <c r="H136" s="5">
        <f t="shared" si="6"/>
        <v>1270007.6104118796</v>
      </c>
      <c r="I136" s="6">
        <f t="shared" si="7"/>
        <v>666666.66666666663</v>
      </c>
      <c r="J136" s="6">
        <f t="shared" si="8"/>
        <v>114000000.00000082</v>
      </c>
    </row>
    <row r="137" spans="6:10" x14ac:dyDescent="0.3">
      <c r="F137">
        <v>130</v>
      </c>
      <c r="G137" s="5">
        <f t="shared" ref="G137:G200" si="9">J136*$H$4</f>
        <v>599833.14756064781</v>
      </c>
      <c r="H137" s="5">
        <f t="shared" ref="H137:H200" si="10">G137+I137</f>
        <v>1266499.8142273144</v>
      </c>
      <c r="I137" s="6">
        <f t="shared" ref="I137:I200" si="11">$J$7/($G$3*12)</f>
        <v>666666.66666666663</v>
      </c>
      <c r="J137" s="6">
        <f t="shared" ref="J137:J200" si="12">J136-I137</f>
        <v>113333333.33333415</v>
      </c>
    </row>
    <row r="138" spans="6:10" x14ac:dyDescent="0.3">
      <c r="F138">
        <v>131</v>
      </c>
      <c r="G138" s="5">
        <f t="shared" si="9"/>
        <v>596325.35137608263</v>
      </c>
      <c r="H138" s="5">
        <f t="shared" si="10"/>
        <v>1262992.0180427493</v>
      </c>
      <c r="I138" s="6">
        <f t="shared" si="11"/>
        <v>666666.66666666663</v>
      </c>
      <c r="J138" s="6">
        <f t="shared" si="12"/>
        <v>112666666.66666748</v>
      </c>
    </row>
    <row r="139" spans="6:10" x14ac:dyDescent="0.3">
      <c r="F139">
        <v>132</v>
      </c>
      <c r="G139" s="5">
        <f t="shared" si="9"/>
        <v>592817.55519151746</v>
      </c>
      <c r="H139" s="5">
        <f t="shared" si="10"/>
        <v>1259484.2218581841</v>
      </c>
      <c r="I139" s="6">
        <f t="shared" si="11"/>
        <v>666666.66666666663</v>
      </c>
      <c r="J139" s="6">
        <f t="shared" si="12"/>
        <v>112000000.0000008</v>
      </c>
    </row>
    <row r="140" spans="6:10" x14ac:dyDescent="0.3">
      <c r="F140">
        <v>133</v>
      </c>
      <c r="G140" s="5">
        <f t="shared" si="9"/>
        <v>589309.75900695228</v>
      </c>
      <c r="H140" s="5">
        <f t="shared" si="10"/>
        <v>1255976.4256736189</v>
      </c>
      <c r="I140" s="6">
        <f t="shared" si="11"/>
        <v>666666.66666666663</v>
      </c>
      <c r="J140" s="6">
        <f t="shared" si="12"/>
        <v>111333333.33333413</v>
      </c>
    </row>
    <row r="141" spans="6:10" x14ac:dyDescent="0.3">
      <c r="F141">
        <v>134</v>
      </c>
      <c r="G141" s="5">
        <f t="shared" si="9"/>
        <v>585801.96282238711</v>
      </c>
      <c r="H141" s="5">
        <f t="shared" si="10"/>
        <v>1252468.6294890537</v>
      </c>
      <c r="I141" s="6">
        <f t="shared" si="11"/>
        <v>666666.66666666663</v>
      </c>
      <c r="J141" s="6">
        <f t="shared" si="12"/>
        <v>110666666.66666746</v>
      </c>
    </row>
    <row r="142" spans="6:10" x14ac:dyDescent="0.3">
      <c r="F142">
        <v>135</v>
      </c>
      <c r="G142" s="5">
        <f t="shared" si="9"/>
        <v>582294.16663782194</v>
      </c>
      <c r="H142" s="5">
        <f t="shared" si="10"/>
        <v>1248960.8333044886</v>
      </c>
      <c r="I142" s="6">
        <f t="shared" si="11"/>
        <v>666666.66666666663</v>
      </c>
      <c r="J142" s="6">
        <f t="shared" si="12"/>
        <v>110000000.00000079</v>
      </c>
    </row>
    <row r="143" spans="6:10" x14ac:dyDescent="0.3">
      <c r="F143">
        <v>136</v>
      </c>
      <c r="G143" s="5">
        <f t="shared" si="9"/>
        <v>578786.37045325665</v>
      </c>
      <c r="H143" s="5">
        <f t="shared" si="10"/>
        <v>1245453.0371199232</v>
      </c>
      <c r="I143" s="6">
        <f t="shared" si="11"/>
        <v>666666.66666666663</v>
      </c>
      <c r="J143" s="6">
        <f t="shared" si="12"/>
        <v>109333333.33333412</v>
      </c>
    </row>
    <row r="144" spans="6:10" x14ac:dyDescent="0.3">
      <c r="F144">
        <v>137</v>
      </c>
      <c r="G144" s="5">
        <f t="shared" si="9"/>
        <v>575278.57426869147</v>
      </c>
      <c r="H144" s="5">
        <f t="shared" si="10"/>
        <v>1241945.2409353582</v>
      </c>
      <c r="I144" s="6">
        <f t="shared" si="11"/>
        <v>666666.66666666663</v>
      </c>
      <c r="J144" s="6">
        <f t="shared" si="12"/>
        <v>108666666.66666745</v>
      </c>
    </row>
    <row r="145" spans="6:10" x14ac:dyDescent="0.3">
      <c r="F145">
        <v>138</v>
      </c>
      <c r="G145" s="5">
        <f t="shared" si="9"/>
        <v>571770.7780841263</v>
      </c>
      <c r="H145" s="5">
        <f t="shared" si="10"/>
        <v>1238437.4447507928</v>
      </c>
      <c r="I145" s="6">
        <f t="shared" si="11"/>
        <v>666666.66666666663</v>
      </c>
      <c r="J145" s="6">
        <f t="shared" si="12"/>
        <v>108000000.00000077</v>
      </c>
    </row>
    <row r="146" spans="6:10" x14ac:dyDescent="0.3">
      <c r="F146">
        <v>139</v>
      </c>
      <c r="G146" s="5">
        <f t="shared" si="9"/>
        <v>568262.98189956113</v>
      </c>
      <c r="H146" s="5">
        <f t="shared" si="10"/>
        <v>1234929.6485662279</v>
      </c>
      <c r="I146" s="6">
        <f t="shared" si="11"/>
        <v>666666.66666666663</v>
      </c>
      <c r="J146" s="6">
        <f t="shared" si="12"/>
        <v>107333333.3333341</v>
      </c>
    </row>
    <row r="147" spans="6:10" x14ac:dyDescent="0.3">
      <c r="F147">
        <v>140</v>
      </c>
      <c r="G147" s="5">
        <f t="shared" si="9"/>
        <v>564755.18571499595</v>
      </c>
      <c r="H147" s="5">
        <f t="shared" si="10"/>
        <v>1231421.8523816625</v>
      </c>
      <c r="I147" s="6">
        <f t="shared" si="11"/>
        <v>666666.66666666663</v>
      </c>
      <c r="J147" s="12">
        <f t="shared" si="12"/>
        <v>106666666.66666743</v>
      </c>
    </row>
    <row r="148" spans="6:10" x14ac:dyDescent="0.3">
      <c r="F148">
        <v>141</v>
      </c>
      <c r="G148" s="5">
        <f t="shared" si="9"/>
        <v>561247.38953043078</v>
      </c>
      <c r="H148" s="5">
        <f t="shared" si="10"/>
        <v>1227914.0561970975</v>
      </c>
      <c r="I148" s="6">
        <f t="shared" si="11"/>
        <v>666666.66666666663</v>
      </c>
      <c r="J148" s="6">
        <f t="shared" si="12"/>
        <v>106000000.00000076</v>
      </c>
    </row>
    <row r="149" spans="6:10" x14ac:dyDescent="0.3">
      <c r="F149">
        <v>142</v>
      </c>
      <c r="G149" s="5">
        <f t="shared" si="9"/>
        <v>557739.59334586549</v>
      </c>
      <c r="H149" s="5">
        <f t="shared" si="10"/>
        <v>1224406.2600125321</v>
      </c>
      <c r="I149" s="6">
        <f t="shared" si="11"/>
        <v>666666.66666666663</v>
      </c>
      <c r="J149" s="6">
        <f t="shared" si="12"/>
        <v>105333333.33333409</v>
      </c>
    </row>
    <row r="150" spans="6:10" x14ac:dyDescent="0.3">
      <c r="F150">
        <v>143</v>
      </c>
      <c r="G150" s="5">
        <f t="shared" si="9"/>
        <v>554231.79716130032</v>
      </c>
      <c r="H150" s="5">
        <f t="shared" si="10"/>
        <v>1220898.4638279669</v>
      </c>
      <c r="I150" s="6">
        <f t="shared" si="11"/>
        <v>666666.66666666663</v>
      </c>
      <c r="J150" s="6">
        <f t="shared" si="12"/>
        <v>104666666.66666742</v>
      </c>
    </row>
    <row r="151" spans="6:10" x14ac:dyDescent="0.3">
      <c r="F151">
        <v>144</v>
      </c>
      <c r="G151" s="5">
        <f t="shared" si="9"/>
        <v>550724.00097673514</v>
      </c>
      <c r="H151" s="5">
        <f t="shared" si="10"/>
        <v>1217390.6676434018</v>
      </c>
      <c r="I151" s="6">
        <f t="shared" si="11"/>
        <v>666666.66666666663</v>
      </c>
      <c r="J151" s="6">
        <f t="shared" si="12"/>
        <v>104000000.00000075</v>
      </c>
    </row>
    <row r="152" spans="6:10" x14ac:dyDescent="0.3">
      <c r="F152">
        <v>145</v>
      </c>
      <c r="G152" s="5">
        <f t="shared" si="9"/>
        <v>547216.20479216997</v>
      </c>
      <c r="H152" s="5">
        <f t="shared" si="10"/>
        <v>1213882.8714588366</v>
      </c>
      <c r="I152" s="6">
        <f t="shared" si="11"/>
        <v>666666.66666666663</v>
      </c>
      <c r="J152" s="6">
        <f t="shared" si="12"/>
        <v>103333333.33333407</v>
      </c>
    </row>
    <row r="153" spans="6:10" x14ac:dyDescent="0.3">
      <c r="F153">
        <v>146</v>
      </c>
      <c r="G153" s="5">
        <f t="shared" si="9"/>
        <v>543708.4086076048</v>
      </c>
      <c r="H153" s="5">
        <f t="shared" si="10"/>
        <v>1210375.0752742714</v>
      </c>
      <c r="I153" s="6">
        <f t="shared" si="11"/>
        <v>666666.66666666663</v>
      </c>
      <c r="J153" s="6">
        <f t="shared" si="12"/>
        <v>102666666.6666674</v>
      </c>
    </row>
    <row r="154" spans="6:10" x14ac:dyDescent="0.3">
      <c r="F154">
        <v>147</v>
      </c>
      <c r="G154" s="5">
        <f t="shared" si="9"/>
        <v>540200.61242303962</v>
      </c>
      <c r="H154" s="5">
        <f t="shared" si="10"/>
        <v>1206867.2790897063</v>
      </c>
      <c r="I154" s="6">
        <f t="shared" si="11"/>
        <v>666666.66666666663</v>
      </c>
      <c r="J154" s="6">
        <f t="shared" si="12"/>
        <v>102000000.00000073</v>
      </c>
    </row>
    <row r="155" spans="6:10" x14ac:dyDescent="0.3">
      <c r="F155">
        <v>148</v>
      </c>
      <c r="G155" s="5">
        <f t="shared" si="9"/>
        <v>536692.81623847433</v>
      </c>
      <c r="H155" s="5">
        <f t="shared" si="10"/>
        <v>1203359.4829051411</v>
      </c>
      <c r="I155" s="6">
        <f t="shared" si="11"/>
        <v>666666.66666666663</v>
      </c>
      <c r="J155" s="6">
        <f t="shared" si="12"/>
        <v>101333333.33333406</v>
      </c>
    </row>
    <row r="156" spans="6:10" x14ac:dyDescent="0.3">
      <c r="F156">
        <v>149</v>
      </c>
      <c r="G156" s="5">
        <f t="shared" si="9"/>
        <v>533185.02005390916</v>
      </c>
      <c r="H156" s="5">
        <f t="shared" si="10"/>
        <v>1199851.6867205757</v>
      </c>
      <c r="I156" s="6">
        <f t="shared" si="11"/>
        <v>666666.66666666663</v>
      </c>
      <c r="J156" s="6">
        <f t="shared" si="12"/>
        <v>100666666.66666739</v>
      </c>
    </row>
    <row r="157" spans="6:10" x14ac:dyDescent="0.3">
      <c r="F157">
        <v>150</v>
      </c>
      <c r="G157" s="5">
        <f t="shared" si="9"/>
        <v>529677.22386934399</v>
      </c>
      <c r="H157" s="5">
        <f t="shared" si="10"/>
        <v>1196343.8905360107</v>
      </c>
      <c r="I157" s="6">
        <f t="shared" si="11"/>
        <v>666666.66666666663</v>
      </c>
      <c r="J157" s="6">
        <f t="shared" si="12"/>
        <v>100000000.00000072</v>
      </c>
    </row>
    <row r="158" spans="6:10" x14ac:dyDescent="0.3">
      <c r="F158">
        <v>151</v>
      </c>
      <c r="G158" s="5">
        <f t="shared" si="9"/>
        <v>526169.42768477881</v>
      </c>
      <c r="H158" s="5">
        <f t="shared" si="10"/>
        <v>1192836.0943514453</v>
      </c>
      <c r="I158" s="6">
        <f t="shared" si="11"/>
        <v>666666.66666666663</v>
      </c>
      <c r="J158" s="6">
        <f t="shared" si="12"/>
        <v>99333333.333334044</v>
      </c>
    </row>
    <row r="159" spans="6:10" x14ac:dyDescent="0.3">
      <c r="F159">
        <v>152</v>
      </c>
      <c r="G159" s="5">
        <f t="shared" si="9"/>
        <v>522661.63150021358</v>
      </c>
      <c r="H159" s="5">
        <f t="shared" si="10"/>
        <v>1189328.2981668802</v>
      </c>
      <c r="I159" s="6">
        <f t="shared" si="11"/>
        <v>666666.66666666663</v>
      </c>
      <c r="J159" s="6">
        <f t="shared" si="12"/>
        <v>98666666.666667372</v>
      </c>
    </row>
    <row r="160" spans="6:10" x14ac:dyDescent="0.3">
      <c r="F160">
        <v>153</v>
      </c>
      <c r="G160" s="5">
        <f t="shared" si="9"/>
        <v>519153.83531564841</v>
      </c>
      <c r="H160" s="5">
        <f t="shared" si="10"/>
        <v>1185820.501982315</v>
      </c>
      <c r="I160" s="6">
        <f t="shared" si="11"/>
        <v>666666.66666666663</v>
      </c>
      <c r="J160" s="6">
        <f t="shared" si="12"/>
        <v>98000000.0000007</v>
      </c>
    </row>
    <row r="161" spans="6:10" x14ac:dyDescent="0.3">
      <c r="F161">
        <v>154</v>
      </c>
      <c r="G161" s="5">
        <f t="shared" si="9"/>
        <v>515646.03913108323</v>
      </c>
      <c r="H161" s="5">
        <f t="shared" si="10"/>
        <v>1182312.7057977498</v>
      </c>
      <c r="I161" s="6">
        <f t="shared" si="11"/>
        <v>666666.66666666663</v>
      </c>
      <c r="J161" s="6">
        <f t="shared" si="12"/>
        <v>97333333.333334029</v>
      </c>
    </row>
    <row r="162" spans="6:10" x14ac:dyDescent="0.3">
      <c r="F162">
        <v>155</v>
      </c>
      <c r="G162" s="5">
        <f t="shared" si="9"/>
        <v>512138.242946518</v>
      </c>
      <c r="H162" s="5">
        <f t="shared" si="10"/>
        <v>1178804.9096131846</v>
      </c>
      <c r="I162" s="6">
        <f t="shared" si="11"/>
        <v>666666.66666666663</v>
      </c>
      <c r="J162" s="6">
        <f t="shared" si="12"/>
        <v>96666666.666667357</v>
      </c>
    </row>
    <row r="163" spans="6:10" x14ac:dyDescent="0.3">
      <c r="F163">
        <v>156</v>
      </c>
      <c r="G163" s="5">
        <f t="shared" si="9"/>
        <v>508630.44676195283</v>
      </c>
      <c r="H163" s="5">
        <f t="shared" si="10"/>
        <v>1175297.1134286195</v>
      </c>
      <c r="I163" s="6">
        <f t="shared" si="11"/>
        <v>666666.66666666663</v>
      </c>
      <c r="J163" s="6">
        <f t="shared" si="12"/>
        <v>96000000.000000685</v>
      </c>
    </row>
    <row r="164" spans="6:10" x14ac:dyDescent="0.3">
      <c r="F164">
        <v>157</v>
      </c>
      <c r="G164" s="5">
        <f t="shared" si="9"/>
        <v>505122.65057738766</v>
      </c>
      <c r="H164" s="5">
        <f t="shared" si="10"/>
        <v>1171789.3172440543</v>
      </c>
      <c r="I164" s="6">
        <f t="shared" si="11"/>
        <v>666666.66666666663</v>
      </c>
      <c r="J164" s="6">
        <f t="shared" si="12"/>
        <v>95333333.333334014</v>
      </c>
    </row>
    <row r="165" spans="6:10" x14ac:dyDescent="0.3">
      <c r="F165">
        <v>158</v>
      </c>
      <c r="G165" s="5">
        <f t="shared" si="9"/>
        <v>501614.85439282242</v>
      </c>
      <c r="H165" s="5">
        <f t="shared" si="10"/>
        <v>1168281.5210594891</v>
      </c>
      <c r="I165" s="6">
        <f t="shared" si="11"/>
        <v>666666.66666666663</v>
      </c>
      <c r="J165" s="6">
        <f t="shared" si="12"/>
        <v>94666666.666667342</v>
      </c>
    </row>
    <row r="166" spans="6:10" x14ac:dyDescent="0.3">
      <c r="F166">
        <v>159</v>
      </c>
      <c r="G166" s="5">
        <f t="shared" si="9"/>
        <v>498107.05820825725</v>
      </c>
      <c r="H166" s="5">
        <f t="shared" si="10"/>
        <v>1164773.7248749239</v>
      </c>
      <c r="I166" s="6">
        <f t="shared" si="11"/>
        <v>666666.66666666663</v>
      </c>
      <c r="J166" s="6">
        <f t="shared" si="12"/>
        <v>94000000.000000671</v>
      </c>
    </row>
    <row r="167" spans="6:10" x14ac:dyDescent="0.3">
      <c r="F167">
        <v>160</v>
      </c>
      <c r="G167" s="5">
        <f t="shared" si="9"/>
        <v>494599.26202369208</v>
      </c>
      <c r="H167" s="5">
        <f t="shared" si="10"/>
        <v>1161265.9286903588</v>
      </c>
      <c r="I167" s="6">
        <f t="shared" si="11"/>
        <v>666666.66666666663</v>
      </c>
      <c r="J167" s="6">
        <f t="shared" si="12"/>
        <v>93333333.333333999</v>
      </c>
    </row>
    <row r="168" spans="6:10" x14ac:dyDescent="0.3">
      <c r="F168">
        <v>161</v>
      </c>
      <c r="G168" s="5">
        <f t="shared" si="9"/>
        <v>491091.46583912685</v>
      </c>
      <c r="H168" s="5">
        <f t="shared" si="10"/>
        <v>1157758.1325057936</v>
      </c>
      <c r="I168" s="6">
        <f t="shared" si="11"/>
        <v>666666.66666666663</v>
      </c>
      <c r="J168" s="6">
        <f t="shared" si="12"/>
        <v>92666666.666667327</v>
      </c>
    </row>
    <row r="169" spans="6:10" x14ac:dyDescent="0.3">
      <c r="F169">
        <v>162</v>
      </c>
      <c r="G169" s="5">
        <f t="shared" si="9"/>
        <v>487583.66965456167</v>
      </c>
      <c r="H169" s="5">
        <f t="shared" si="10"/>
        <v>1154250.3363212282</v>
      </c>
      <c r="I169" s="6">
        <f t="shared" si="11"/>
        <v>666666.66666666663</v>
      </c>
      <c r="J169" s="6">
        <f t="shared" si="12"/>
        <v>92000000.000000656</v>
      </c>
    </row>
    <row r="170" spans="6:10" x14ac:dyDescent="0.3">
      <c r="F170">
        <v>163</v>
      </c>
      <c r="G170" s="5">
        <f t="shared" si="9"/>
        <v>484075.8734699965</v>
      </c>
      <c r="H170" s="5">
        <f t="shared" si="10"/>
        <v>1150742.5401366632</v>
      </c>
      <c r="I170" s="6">
        <f t="shared" si="11"/>
        <v>666666.66666666663</v>
      </c>
      <c r="J170" s="6">
        <f t="shared" si="12"/>
        <v>91333333.333333984</v>
      </c>
    </row>
    <row r="171" spans="6:10" x14ac:dyDescent="0.3">
      <c r="F171">
        <v>164</v>
      </c>
      <c r="G171" s="5">
        <f t="shared" si="9"/>
        <v>480568.07728543127</v>
      </c>
      <c r="H171" s="5">
        <f t="shared" si="10"/>
        <v>1147234.7439520978</v>
      </c>
      <c r="I171" s="6">
        <f t="shared" si="11"/>
        <v>666666.66666666663</v>
      </c>
      <c r="J171" s="6">
        <f t="shared" si="12"/>
        <v>90666666.666667312</v>
      </c>
    </row>
    <row r="172" spans="6:10" x14ac:dyDescent="0.3">
      <c r="F172">
        <v>165</v>
      </c>
      <c r="G172" s="5">
        <f t="shared" si="9"/>
        <v>477060.28110086609</v>
      </c>
      <c r="H172" s="5">
        <f t="shared" si="10"/>
        <v>1143726.9477675327</v>
      </c>
      <c r="I172" s="6">
        <f t="shared" si="11"/>
        <v>666666.66666666663</v>
      </c>
      <c r="J172" s="6">
        <f t="shared" si="12"/>
        <v>90000000.000000641</v>
      </c>
    </row>
    <row r="173" spans="6:10" x14ac:dyDescent="0.3">
      <c r="F173">
        <v>166</v>
      </c>
      <c r="G173" s="5">
        <f t="shared" si="9"/>
        <v>473552.48491630092</v>
      </c>
      <c r="H173" s="5">
        <f t="shared" si="10"/>
        <v>1140219.1515829675</v>
      </c>
      <c r="I173" s="6">
        <f t="shared" si="11"/>
        <v>666666.66666666663</v>
      </c>
      <c r="J173" s="6">
        <f t="shared" si="12"/>
        <v>89333333.333333969</v>
      </c>
    </row>
    <row r="174" spans="6:10" x14ac:dyDescent="0.3">
      <c r="F174">
        <v>167</v>
      </c>
      <c r="G174" s="5">
        <f t="shared" si="9"/>
        <v>470044.68873173569</v>
      </c>
      <c r="H174" s="5">
        <f t="shared" si="10"/>
        <v>1136711.3553984023</v>
      </c>
      <c r="I174" s="6">
        <f t="shared" si="11"/>
        <v>666666.66666666663</v>
      </c>
      <c r="J174" s="6">
        <f t="shared" si="12"/>
        <v>88666666.666667297</v>
      </c>
    </row>
    <row r="175" spans="6:10" x14ac:dyDescent="0.3">
      <c r="F175">
        <v>168</v>
      </c>
      <c r="G175" s="5">
        <f t="shared" si="9"/>
        <v>466536.89254717052</v>
      </c>
      <c r="H175" s="5">
        <f t="shared" si="10"/>
        <v>1133203.5592138371</v>
      </c>
      <c r="I175" s="6">
        <f t="shared" si="11"/>
        <v>666666.66666666663</v>
      </c>
      <c r="J175" s="6">
        <f t="shared" si="12"/>
        <v>88000000.000000626</v>
      </c>
    </row>
    <row r="176" spans="6:10" x14ac:dyDescent="0.3">
      <c r="F176">
        <v>169</v>
      </c>
      <c r="G176" s="5">
        <f t="shared" si="9"/>
        <v>463029.09636260534</v>
      </c>
      <c r="H176" s="5">
        <f t="shared" si="10"/>
        <v>1129695.763029272</v>
      </c>
      <c r="I176" s="6">
        <f t="shared" si="11"/>
        <v>666666.66666666663</v>
      </c>
      <c r="J176" s="6">
        <f t="shared" si="12"/>
        <v>87333333.333333954</v>
      </c>
    </row>
    <row r="177" spans="6:10" x14ac:dyDescent="0.3">
      <c r="F177">
        <v>170</v>
      </c>
      <c r="G177" s="5">
        <f t="shared" si="9"/>
        <v>459521.30017804011</v>
      </c>
      <c r="H177" s="5">
        <f t="shared" si="10"/>
        <v>1126187.9668447068</v>
      </c>
      <c r="I177" s="6">
        <f t="shared" si="11"/>
        <v>666666.66666666663</v>
      </c>
      <c r="J177" s="6">
        <f t="shared" si="12"/>
        <v>86666666.666667283</v>
      </c>
    </row>
    <row r="178" spans="6:10" x14ac:dyDescent="0.3">
      <c r="F178">
        <v>171</v>
      </c>
      <c r="G178" s="5">
        <f t="shared" si="9"/>
        <v>456013.50399347494</v>
      </c>
      <c r="H178" s="5">
        <f t="shared" si="10"/>
        <v>1122680.1706601416</v>
      </c>
      <c r="I178" s="6">
        <f t="shared" si="11"/>
        <v>666666.66666666663</v>
      </c>
      <c r="J178" s="6">
        <f t="shared" si="12"/>
        <v>86000000.000000611</v>
      </c>
    </row>
    <row r="179" spans="6:10" x14ac:dyDescent="0.3">
      <c r="F179">
        <v>172</v>
      </c>
      <c r="G179" s="5">
        <f t="shared" si="9"/>
        <v>452505.70780890976</v>
      </c>
      <c r="H179" s="5">
        <f t="shared" si="10"/>
        <v>1119172.3744755764</v>
      </c>
      <c r="I179" s="6">
        <f t="shared" si="11"/>
        <v>666666.66666666663</v>
      </c>
      <c r="J179" s="6">
        <f t="shared" si="12"/>
        <v>85333333.333333939</v>
      </c>
    </row>
    <row r="180" spans="6:10" x14ac:dyDescent="0.3">
      <c r="F180">
        <v>173</v>
      </c>
      <c r="G180" s="5">
        <f t="shared" si="9"/>
        <v>448997.91162434453</v>
      </c>
      <c r="H180" s="5">
        <f t="shared" si="10"/>
        <v>1115664.578291011</v>
      </c>
      <c r="I180" s="6">
        <f t="shared" si="11"/>
        <v>666666.66666666663</v>
      </c>
      <c r="J180" s="6">
        <f t="shared" si="12"/>
        <v>84666666.666667268</v>
      </c>
    </row>
    <row r="181" spans="6:10" x14ac:dyDescent="0.3">
      <c r="F181">
        <v>174</v>
      </c>
      <c r="G181" s="5">
        <f t="shared" si="9"/>
        <v>445490.11543977936</v>
      </c>
      <c r="H181" s="5">
        <f t="shared" si="10"/>
        <v>1112156.7821064461</v>
      </c>
      <c r="I181" s="6">
        <f t="shared" si="11"/>
        <v>666666.66666666663</v>
      </c>
      <c r="J181" s="6">
        <f t="shared" si="12"/>
        <v>84000000.000000596</v>
      </c>
    </row>
    <row r="182" spans="6:10" x14ac:dyDescent="0.3">
      <c r="F182">
        <v>175</v>
      </c>
      <c r="G182" s="5">
        <f t="shared" si="9"/>
        <v>441982.31925521418</v>
      </c>
      <c r="H182" s="5">
        <f t="shared" si="10"/>
        <v>1108648.9859218807</v>
      </c>
      <c r="I182" s="6">
        <f t="shared" si="11"/>
        <v>666666.66666666663</v>
      </c>
      <c r="J182" s="6">
        <f t="shared" si="12"/>
        <v>83333333.333333924</v>
      </c>
    </row>
    <row r="183" spans="6:10" x14ac:dyDescent="0.3">
      <c r="F183">
        <v>176</v>
      </c>
      <c r="G183" s="5">
        <f t="shared" si="9"/>
        <v>438474.52307064895</v>
      </c>
      <c r="H183" s="5">
        <f t="shared" si="10"/>
        <v>1105141.1897373155</v>
      </c>
      <c r="I183" s="6">
        <f t="shared" si="11"/>
        <v>666666.66666666663</v>
      </c>
      <c r="J183" s="6">
        <f t="shared" si="12"/>
        <v>82666666.666667253</v>
      </c>
    </row>
    <row r="184" spans="6:10" x14ac:dyDescent="0.3">
      <c r="F184">
        <v>177</v>
      </c>
      <c r="G184" s="5">
        <f t="shared" si="9"/>
        <v>434966.72688608378</v>
      </c>
      <c r="H184" s="5">
        <f t="shared" si="10"/>
        <v>1101633.3935527503</v>
      </c>
      <c r="I184" s="6">
        <f t="shared" si="11"/>
        <v>666666.66666666663</v>
      </c>
      <c r="J184" s="6">
        <f t="shared" si="12"/>
        <v>82000000.000000581</v>
      </c>
    </row>
    <row r="185" spans="6:10" x14ac:dyDescent="0.3">
      <c r="F185">
        <v>178</v>
      </c>
      <c r="G185" s="5">
        <f t="shared" si="9"/>
        <v>431458.93070151861</v>
      </c>
      <c r="H185" s="5">
        <f t="shared" si="10"/>
        <v>1098125.5973681852</v>
      </c>
      <c r="I185" s="6">
        <f t="shared" si="11"/>
        <v>666666.66666666663</v>
      </c>
      <c r="J185" s="6">
        <f t="shared" si="12"/>
        <v>81333333.33333391</v>
      </c>
    </row>
    <row r="186" spans="6:10" x14ac:dyDescent="0.3">
      <c r="F186">
        <v>179</v>
      </c>
      <c r="G186" s="5">
        <f t="shared" si="9"/>
        <v>427951.13451695337</v>
      </c>
      <c r="H186" s="5">
        <f t="shared" si="10"/>
        <v>1094617.80118362</v>
      </c>
      <c r="I186" s="6">
        <f t="shared" si="11"/>
        <v>666666.66666666663</v>
      </c>
      <c r="J186" s="6">
        <f t="shared" si="12"/>
        <v>80666666.666667238</v>
      </c>
    </row>
    <row r="187" spans="6:10" x14ac:dyDescent="0.3">
      <c r="F187">
        <v>180</v>
      </c>
      <c r="G187" s="5">
        <f t="shared" si="9"/>
        <v>424443.3383323882</v>
      </c>
      <c r="H187" s="5">
        <f t="shared" si="10"/>
        <v>1091110.0049990548</v>
      </c>
      <c r="I187" s="6">
        <f t="shared" si="11"/>
        <v>666666.66666666663</v>
      </c>
      <c r="J187" s="6">
        <f t="shared" si="12"/>
        <v>80000000.000000566</v>
      </c>
    </row>
    <row r="188" spans="6:10" x14ac:dyDescent="0.3">
      <c r="F188">
        <v>181</v>
      </c>
      <c r="G188" s="5">
        <f t="shared" si="9"/>
        <v>420935.54214782303</v>
      </c>
      <c r="H188" s="5">
        <f t="shared" si="10"/>
        <v>1087602.2088144897</v>
      </c>
      <c r="I188" s="6">
        <f t="shared" si="11"/>
        <v>666666.66666666663</v>
      </c>
      <c r="J188" s="6">
        <f t="shared" si="12"/>
        <v>79333333.333333895</v>
      </c>
    </row>
    <row r="189" spans="6:10" x14ac:dyDescent="0.3">
      <c r="F189">
        <v>182</v>
      </c>
      <c r="G189" s="5">
        <f t="shared" si="9"/>
        <v>417427.7459632578</v>
      </c>
      <c r="H189" s="5">
        <f t="shared" si="10"/>
        <v>1084094.4126299245</v>
      </c>
      <c r="I189" s="6">
        <f t="shared" si="11"/>
        <v>666666.66666666663</v>
      </c>
      <c r="J189" s="6">
        <f t="shared" si="12"/>
        <v>78666666.666667223</v>
      </c>
    </row>
    <row r="190" spans="6:10" x14ac:dyDescent="0.3">
      <c r="F190">
        <v>183</v>
      </c>
      <c r="G190" s="5">
        <f t="shared" si="9"/>
        <v>413919.94977869262</v>
      </c>
      <c r="H190" s="5">
        <f t="shared" si="10"/>
        <v>1080586.6164453593</v>
      </c>
      <c r="I190" s="6">
        <f t="shared" si="11"/>
        <v>666666.66666666663</v>
      </c>
      <c r="J190" s="6">
        <f t="shared" si="12"/>
        <v>78000000.000000551</v>
      </c>
    </row>
    <row r="191" spans="6:10" x14ac:dyDescent="0.3">
      <c r="F191">
        <v>184</v>
      </c>
      <c r="G191" s="5">
        <f t="shared" si="9"/>
        <v>410412.15359412745</v>
      </c>
      <c r="H191" s="5">
        <f t="shared" si="10"/>
        <v>1077078.8202607941</v>
      </c>
      <c r="I191" s="6">
        <f t="shared" si="11"/>
        <v>666666.66666666663</v>
      </c>
      <c r="J191" s="6">
        <f t="shared" si="12"/>
        <v>77333333.33333388</v>
      </c>
    </row>
    <row r="192" spans="6:10" x14ac:dyDescent="0.3">
      <c r="F192">
        <v>185</v>
      </c>
      <c r="G192" s="5">
        <f t="shared" si="9"/>
        <v>406904.35740956222</v>
      </c>
      <c r="H192" s="5">
        <f t="shared" si="10"/>
        <v>1073571.024076229</v>
      </c>
      <c r="I192" s="6">
        <f t="shared" si="11"/>
        <v>666666.66666666663</v>
      </c>
      <c r="J192" s="6">
        <f t="shared" si="12"/>
        <v>76666666.666667208</v>
      </c>
    </row>
    <row r="193" spans="6:10" x14ac:dyDescent="0.3">
      <c r="F193">
        <v>186</v>
      </c>
      <c r="G193" s="5">
        <f t="shared" si="9"/>
        <v>403396.56122499704</v>
      </c>
      <c r="H193" s="5">
        <f t="shared" si="10"/>
        <v>1070063.2278916636</v>
      </c>
      <c r="I193" s="6">
        <f t="shared" si="11"/>
        <v>666666.66666666663</v>
      </c>
      <c r="J193" s="6">
        <f t="shared" si="12"/>
        <v>76000000.000000536</v>
      </c>
    </row>
    <row r="194" spans="6:10" x14ac:dyDescent="0.3">
      <c r="F194">
        <v>187</v>
      </c>
      <c r="G194" s="5">
        <f t="shared" si="9"/>
        <v>399888.76504043187</v>
      </c>
      <c r="H194" s="5">
        <f t="shared" si="10"/>
        <v>1066555.4317070986</v>
      </c>
      <c r="I194" s="6">
        <f t="shared" si="11"/>
        <v>666666.66666666663</v>
      </c>
      <c r="J194" s="6">
        <f t="shared" si="12"/>
        <v>75333333.333333865</v>
      </c>
    </row>
    <row r="195" spans="6:10" x14ac:dyDescent="0.3">
      <c r="F195">
        <v>188</v>
      </c>
      <c r="G195" s="5">
        <f t="shared" si="9"/>
        <v>396380.96885586664</v>
      </c>
      <c r="H195" s="5">
        <f t="shared" si="10"/>
        <v>1063047.6355225332</v>
      </c>
      <c r="I195" s="6">
        <f t="shared" si="11"/>
        <v>666666.66666666663</v>
      </c>
      <c r="J195" s="6">
        <f t="shared" si="12"/>
        <v>74666666.666667193</v>
      </c>
    </row>
    <row r="196" spans="6:10" x14ac:dyDescent="0.3">
      <c r="F196">
        <v>189</v>
      </c>
      <c r="G196" s="5">
        <f t="shared" si="9"/>
        <v>392873.17267130147</v>
      </c>
      <c r="H196" s="5">
        <f t="shared" si="10"/>
        <v>1059539.839337968</v>
      </c>
      <c r="I196" s="6">
        <f t="shared" si="11"/>
        <v>666666.66666666663</v>
      </c>
      <c r="J196" s="6">
        <f t="shared" si="12"/>
        <v>74000000.000000522</v>
      </c>
    </row>
    <row r="197" spans="6:10" x14ac:dyDescent="0.3">
      <c r="F197">
        <v>190</v>
      </c>
      <c r="G197" s="5">
        <f t="shared" si="9"/>
        <v>389365.37648673629</v>
      </c>
      <c r="H197" s="5">
        <f t="shared" si="10"/>
        <v>1056032.0431534029</v>
      </c>
      <c r="I197" s="6">
        <f t="shared" si="11"/>
        <v>666666.66666666663</v>
      </c>
      <c r="J197" s="6">
        <f t="shared" si="12"/>
        <v>73333333.33333385</v>
      </c>
    </row>
    <row r="198" spans="6:10" x14ac:dyDescent="0.3">
      <c r="F198">
        <v>191</v>
      </c>
      <c r="G198" s="5">
        <f t="shared" si="9"/>
        <v>385857.58030217106</v>
      </c>
      <c r="H198" s="5">
        <f t="shared" si="10"/>
        <v>1052524.2469688377</v>
      </c>
      <c r="I198" s="6">
        <f t="shared" si="11"/>
        <v>666666.66666666663</v>
      </c>
      <c r="J198" s="6">
        <f t="shared" si="12"/>
        <v>72666666.666667178</v>
      </c>
    </row>
    <row r="199" spans="6:10" x14ac:dyDescent="0.3">
      <c r="F199">
        <v>192</v>
      </c>
      <c r="G199" s="5">
        <f t="shared" si="9"/>
        <v>382349.78411760589</v>
      </c>
      <c r="H199" s="5">
        <f t="shared" si="10"/>
        <v>1049016.4507842725</v>
      </c>
      <c r="I199" s="6">
        <f t="shared" si="11"/>
        <v>666666.66666666663</v>
      </c>
      <c r="J199" s="6">
        <f t="shared" si="12"/>
        <v>72000000.000000507</v>
      </c>
    </row>
    <row r="200" spans="6:10" x14ac:dyDescent="0.3">
      <c r="F200">
        <v>193</v>
      </c>
      <c r="G200" s="5">
        <f t="shared" si="9"/>
        <v>378841.98793304071</v>
      </c>
      <c r="H200" s="5">
        <f t="shared" si="10"/>
        <v>1045508.6545997073</v>
      </c>
      <c r="I200" s="6">
        <f t="shared" si="11"/>
        <v>666666.66666666663</v>
      </c>
      <c r="J200" s="6">
        <f t="shared" si="12"/>
        <v>71333333.333333835</v>
      </c>
    </row>
    <row r="201" spans="6:10" x14ac:dyDescent="0.3">
      <c r="F201">
        <v>194</v>
      </c>
      <c r="G201" s="5">
        <f t="shared" ref="G201:G264" si="13">J200*$H$4</f>
        <v>375334.19174847548</v>
      </c>
      <c r="H201" s="5">
        <f t="shared" ref="H201:H264" si="14">G201+I201</f>
        <v>1042000.8584151422</v>
      </c>
      <c r="I201" s="6">
        <f t="shared" ref="I201:I264" si="15">$J$7/($G$3*12)</f>
        <v>666666.66666666663</v>
      </c>
      <c r="J201" s="6">
        <f t="shared" ref="J201:J264" si="16">J200-I201</f>
        <v>70666666.666667163</v>
      </c>
    </row>
    <row r="202" spans="6:10" x14ac:dyDescent="0.3">
      <c r="F202">
        <v>195</v>
      </c>
      <c r="G202" s="5">
        <f t="shared" si="13"/>
        <v>371826.39556391031</v>
      </c>
      <c r="H202" s="5">
        <f t="shared" si="14"/>
        <v>1038493.062230577</v>
      </c>
      <c r="I202" s="6">
        <f t="shared" si="15"/>
        <v>666666.66666666663</v>
      </c>
      <c r="J202" s="6">
        <f t="shared" si="16"/>
        <v>70000000.000000492</v>
      </c>
    </row>
    <row r="203" spans="6:10" x14ac:dyDescent="0.3">
      <c r="F203">
        <v>196</v>
      </c>
      <c r="G203" s="5">
        <f t="shared" si="13"/>
        <v>368318.59937934513</v>
      </c>
      <c r="H203" s="5">
        <f t="shared" si="14"/>
        <v>1034985.2660460118</v>
      </c>
      <c r="I203" s="6">
        <f t="shared" si="15"/>
        <v>666666.66666666663</v>
      </c>
      <c r="J203" s="6">
        <f t="shared" si="16"/>
        <v>69333333.33333382</v>
      </c>
    </row>
    <row r="204" spans="6:10" x14ac:dyDescent="0.3">
      <c r="F204">
        <v>197</v>
      </c>
      <c r="G204" s="5">
        <f t="shared" si="13"/>
        <v>364810.8031947799</v>
      </c>
      <c r="H204" s="5">
        <f t="shared" si="14"/>
        <v>1031477.4698614465</v>
      </c>
      <c r="I204" s="6">
        <f t="shared" si="15"/>
        <v>666666.66666666663</v>
      </c>
      <c r="J204" s="6">
        <f t="shared" si="16"/>
        <v>68666666.666667148</v>
      </c>
    </row>
    <row r="205" spans="6:10" x14ac:dyDescent="0.3">
      <c r="F205">
        <v>198</v>
      </c>
      <c r="G205" s="5">
        <f t="shared" si="13"/>
        <v>361303.00701021473</v>
      </c>
      <c r="H205" s="5">
        <f t="shared" si="14"/>
        <v>1027969.6736768814</v>
      </c>
      <c r="I205" s="6">
        <f t="shared" si="15"/>
        <v>666666.66666666663</v>
      </c>
      <c r="J205" s="6">
        <f t="shared" si="16"/>
        <v>68000000.000000477</v>
      </c>
    </row>
    <row r="206" spans="6:10" x14ac:dyDescent="0.3">
      <c r="F206">
        <v>199</v>
      </c>
      <c r="G206" s="5">
        <f t="shared" si="13"/>
        <v>357795.21082564956</v>
      </c>
      <c r="H206" s="5">
        <f t="shared" si="14"/>
        <v>1024461.8774923162</v>
      </c>
      <c r="I206" s="6">
        <f t="shared" si="15"/>
        <v>666666.66666666663</v>
      </c>
      <c r="J206" s="6">
        <f t="shared" si="16"/>
        <v>67333333.333333805</v>
      </c>
    </row>
    <row r="207" spans="6:10" x14ac:dyDescent="0.3">
      <c r="F207">
        <v>200</v>
      </c>
      <c r="G207" s="5">
        <f t="shared" si="13"/>
        <v>354287.41464108432</v>
      </c>
      <c r="H207" s="5">
        <f t="shared" si="14"/>
        <v>1020954.0813077509</v>
      </c>
      <c r="I207" s="6">
        <f t="shared" si="15"/>
        <v>666666.66666666663</v>
      </c>
      <c r="J207" s="6">
        <f t="shared" si="16"/>
        <v>66666666.666667141</v>
      </c>
    </row>
    <row r="208" spans="6:10" x14ac:dyDescent="0.3">
      <c r="F208">
        <v>201</v>
      </c>
      <c r="G208" s="5">
        <f t="shared" si="13"/>
        <v>350779.61845651921</v>
      </c>
      <c r="H208" s="5">
        <f t="shared" si="14"/>
        <v>1017446.2851231858</v>
      </c>
      <c r="I208" s="6">
        <f t="shared" si="15"/>
        <v>666666.66666666663</v>
      </c>
      <c r="J208" s="6">
        <f t="shared" si="16"/>
        <v>66000000.000000477</v>
      </c>
    </row>
    <row r="209" spans="6:10" x14ac:dyDescent="0.3">
      <c r="F209">
        <v>202</v>
      </c>
      <c r="G209" s="5">
        <f t="shared" si="13"/>
        <v>347271.82227195404</v>
      </c>
      <c r="H209" s="5">
        <f t="shared" si="14"/>
        <v>1013938.4889386207</v>
      </c>
      <c r="I209" s="6">
        <f t="shared" si="15"/>
        <v>666666.66666666663</v>
      </c>
      <c r="J209" s="6">
        <f t="shared" si="16"/>
        <v>65333333.333333813</v>
      </c>
    </row>
    <row r="210" spans="6:10" x14ac:dyDescent="0.3">
      <c r="F210">
        <v>203</v>
      </c>
      <c r="G210" s="5">
        <f t="shared" si="13"/>
        <v>343764.02608738886</v>
      </c>
      <c r="H210" s="5">
        <f t="shared" si="14"/>
        <v>1010430.6927540555</v>
      </c>
      <c r="I210" s="6">
        <f t="shared" si="15"/>
        <v>666666.66666666663</v>
      </c>
      <c r="J210" s="6">
        <f t="shared" si="16"/>
        <v>64666666.666667148</v>
      </c>
    </row>
    <row r="211" spans="6:10" x14ac:dyDescent="0.3">
      <c r="F211">
        <v>204</v>
      </c>
      <c r="G211" s="5">
        <f t="shared" si="13"/>
        <v>340256.22990282375</v>
      </c>
      <c r="H211" s="5">
        <f t="shared" si="14"/>
        <v>1006922.8965694904</v>
      </c>
      <c r="I211" s="6">
        <f t="shared" si="15"/>
        <v>666666.66666666663</v>
      </c>
      <c r="J211" s="6">
        <f t="shared" si="16"/>
        <v>64000000.000000484</v>
      </c>
    </row>
    <row r="212" spans="6:10" x14ac:dyDescent="0.3">
      <c r="F212">
        <v>205</v>
      </c>
      <c r="G212" s="5">
        <f t="shared" si="13"/>
        <v>336748.43371825857</v>
      </c>
      <c r="H212" s="5">
        <f t="shared" si="14"/>
        <v>1003415.1003849253</v>
      </c>
      <c r="I212" s="6">
        <f t="shared" si="15"/>
        <v>666666.66666666663</v>
      </c>
      <c r="J212" s="6">
        <f t="shared" si="16"/>
        <v>63333333.33333382</v>
      </c>
    </row>
    <row r="213" spans="6:10" x14ac:dyDescent="0.3">
      <c r="F213">
        <v>206</v>
      </c>
      <c r="G213" s="5">
        <f t="shared" si="13"/>
        <v>333240.6375336934</v>
      </c>
      <c r="H213" s="5">
        <f t="shared" si="14"/>
        <v>999907.30420036009</v>
      </c>
      <c r="I213" s="6">
        <f t="shared" si="15"/>
        <v>666666.66666666663</v>
      </c>
      <c r="J213" s="6">
        <f t="shared" si="16"/>
        <v>62666666.666667156</v>
      </c>
    </row>
    <row r="214" spans="6:10" x14ac:dyDescent="0.3">
      <c r="F214">
        <v>207</v>
      </c>
      <c r="G214" s="5">
        <f t="shared" si="13"/>
        <v>329732.84134912828</v>
      </c>
      <c r="H214" s="5">
        <f t="shared" si="14"/>
        <v>996399.50801579491</v>
      </c>
      <c r="I214" s="6">
        <f t="shared" si="15"/>
        <v>666666.66666666663</v>
      </c>
      <c r="J214" s="6">
        <f t="shared" si="16"/>
        <v>62000000.000000492</v>
      </c>
    </row>
    <row r="215" spans="6:10" x14ac:dyDescent="0.3">
      <c r="F215">
        <v>208</v>
      </c>
      <c r="G215" s="5">
        <f t="shared" si="13"/>
        <v>326225.04516456311</v>
      </c>
      <c r="H215" s="5">
        <f t="shared" si="14"/>
        <v>992891.71183122974</v>
      </c>
      <c r="I215" s="6">
        <f t="shared" si="15"/>
        <v>666666.66666666663</v>
      </c>
      <c r="J215" s="6">
        <f t="shared" si="16"/>
        <v>61333333.333333828</v>
      </c>
    </row>
    <row r="216" spans="6:10" x14ac:dyDescent="0.3">
      <c r="F216">
        <v>209</v>
      </c>
      <c r="G216" s="5">
        <f t="shared" si="13"/>
        <v>322717.24897999794</v>
      </c>
      <c r="H216" s="5">
        <f t="shared" si="14"/>
        <v>989383.91564666457</v>
      </c>
      <c r="I216" s="6">
        <f t="shared" si="15"/>
        <v>666666.66666666663</v>
      </c>
      <c r="J216" s="6">
        <f t="shared" si="16"/>
        <v>60666666.666667163</v>
      </c>
    </row>
    <row r="217" spans="6:10" x14ac:dyDescent="0.3">
      <c r="F217">
        <v>210</v>
      </c>
      <c r="G217" s="5">
        <f t="shared" si="13"/>
        <v>319209.45279543282</v>
      </c>
      <c r="H217" s="5">
        <f t="shared" si="14"/>
        <v>985876.11946209939</v>
      </c>
      <c r="I217" s="6">
        <f t="shared" si="15"/>
        <v>666666.66666666663</v>
      </c>
      <c r="J217" s="6">
        <f t="shared" si="16"/>
        <v>60000000.000000499</v>
      </c>
    </row>
    <row r="218" spans="6:10" x14ac:dyDescent="0.3">
      <c r="F218">
        <v>211</v>
      </c>
      <c r="G218" s="5">
        <f t="shared" si="13"/>
        <v>315701.65661086765</v>
      </c>
      <c r="H218" s="5">
        <f t="shared" si="14"/>
        <v>982368.32327753422</v>
      </c>
      <c r="I218" s="6">
        <f t="shared" si="15"/>
        <v>666666.66666666663</v>
      </c>
      <c r="J218" s="6">
        <f t="shared" si="16"/>
        <v>59333333.333333835</v>
      </c>
    </row>
    <row r="219" spans="6:10" x14ac:dyDescent="0.3">
      <c r="F219">
        <v>212</v>
      </c>
      <c r="G219" s="5">
        <f t="shared" si="13"/>
        <v>312193.86042630248</v>
      </c>
      <c r="H219" s="5">
        <f t="shared" si="14"/>
        <v>978860.52709296905</v>
      </c>
      <c r="I219" s="6">
        <f t="shared" si="15"/>
        <v>666666.66666666663</v>
      </c>
      <c r="J219" s="6">
        <f t="shared" si="16"/>
        <v>58666666.666667171</v>
      </c>
    </row>
    <row r="220" spans="6:10" x14ac:dyDescent="0.3">
      <c r="F220">
        <v>213</v>
      </c>
      <c r="G220" s="5">
        <f t="shared" si="13"/>
        <v>308686.06424173736</v>
      </c>
      <c r="H220" s="5">
        <f t="shared" si="14"/>
        <v>975352.73090840399</v>
      </c>
      <c r="I220" s="6">
        <f t="shared" si="15"/>
        <v>666666.66666666663</v>
      </c>
      <c r="J220" s="6">
        <f t="shared" si="16"/>
        <v>58000000.000000507</v>
      </c>
    </row>
    <row r="221" spans="6:10" x14ac:dyDescent="0.3">
      <c r="F221">
        <v>214</v>
      </c>
      <c r="G221" s="5">
        <f t="shared" si="13"/>
        <v>305178.26805717219</v>
      </c>
      <c r="H221" s="5">
        <f t="shared" si="14"/>
        <v>971844.93472383881</v>
      </c>
      <c r="I221" s="6">
        <f t="shared" si="15"/>
        <v>666666.66666666663</v>
      </c>
      <c r="J221" s="6">
        <f t="shared" si="16"/>
        <v>57333333.333333842</v>
      </c>
    </row>
    <row r="222" spans="6:10" x14ac:dyDescent="0.3">
      <c r="F222">
        <v>215</v>
      </c>
      <c r="G222" s="5">
        <f t="shared" si="13"/>
        <v>301670.47187260701</v>
      </c>
      <c r="H222" s="5">
        <f t="shared" si="14"/>
        <v>968337.13853927364</v>
      </c>
      <c r="I222" s="6">
        <f t="shared" si="15"/>
        <v>666666.66666666663</v>
      </c>
      <c r="J222" s="6">
        <f t="shared" si="16"/>
        <v>56666666.666667178</v>
      </c>
    </row>
    <row r="223" spans="6:10" x14ac:dyDescent="0.3">
      <c r="F223">
        <v>216</v>
      </c>
      <c r="G223" s="5">
        <f t="shared" si="13"/>
        <v>298162.6756880419</v>
      </c>
      <c r="H223" s="5">
        <f t="shared" si="14"/>
        <v>964829.34235470858</v>
      </c>
      <c r="I223" s="6">
        <f t="shared" si="15"/>
        <v>666666.66666666663</v>
      </c>
      <c r="J223" s="6">
        <f t="shared" si="16"/>
        <v>56000000.000000514</v>
      </c>
    </row>
    <row r="224" spans="6:10" x14ac:dyDescent="0.3">
      <c r="F224">
        <v>217</v>
      </c>
      <c r="G224" s="5">
        <f t="shared" si="13"/>
        <v>294654.87950347672</v>
      </c>
      <c r="H224" s="5">
        <f t="shared" si="14"/>
        <v>961321.54617014341</v>
      </c>
      <c r="I224" s="6">
        <f t="shared" si="15"/>
        <v>666666.66666666663</v>
      </c>
      <c r="J224" s="6">
        <f t="shared" si="16"/>
        <v>55333333.33333385</v>
      </c>
    </row>
    <row r="225" spans="6:10" x14ac:dyDescent="0.3">
      <c r="F225">
        <v>218</v>
      </c>
      <c r="G225" s="5">
        <f t="shared" si="13"/>
        <v>291147.08331891155</v>
      </c>
      <c r="H225" s="5">
        <f t="shared" si="14"/>
        <v>957813.74998557824</v>
      </c>
      <c r="I225" s="6">
        <f t="shared" si="15"/>
        <v>666666.66666666663</v>
      </c>
      <c r="J225" s="6">
        <f t="shared" si="16"/>
        <v>54666666.666667186</v>
      </c>
    </row>
    <row r="226" spans="6:10" x14ac:dyDescent="0.3">
      <c r="F226">
        <v>219</v>
      </c>
      <c r="G226" s="5">
        <f t="shared" si="13"/>
        <v>287639.28713434644</v>
      </c>
      <c r="H226" s="5">
        <f t="shared" si="14"/>
        <v>954305.95380101306</v>
      </c>
      <c r="I226" s="6">
        <f t="shared" si="15"/>
        <v>666666.66666666663</v>
      </c>
      <c r="J226" s="6">
        <f t="shared" si="16"/>
        <v>54000000.000000522</v>
      </c>
    </row>
    <row r="227" spans="6:10" x14ac:dyDescent="0.3">
      <c r="F227">
        <v>220</v>
      </c>
      <c r="G227" s="5">
        <f t="shared" si="13"/>
        <v>284131.49094978126</v>
      </c>
      <c r="H227" s="5">
        <f t="shared" si="14"/>
        <v>950798.15761644789</v>
      </c>
      <c r="I227" s="6">
        <f t="shared" si="15"/>
        <v>666666.66666666663</v>
      </c>
      <c r="J227" s="6">
        <f t="shared" si="16"/>
        <v>53333333.333333857</v>
      </c>
    </row>
    <row r="228" spans="6:10" x14ac:dyDescent="0.3">
      <c r="F228">
        <v>221</v>
      </c>
      <c r="G228" s="5">
        <f t="shared" si="13"/>
        <v>280623.69476521609</v>
      </c>
      <c r="H228" s="5">
        <f t="shared" si="14"/>
        <v>947290.36143188272</v>
      </c>
      <c r="I228" s="6">
        <f t="shared" si="15"/>
        <v>666666.66666666663</v>
      </c>
      <c r="J228" s="6">
        <f t="shared" si="16"/>
        <v>52666666.666667193</v>
      </c>
    </row>
    <row r="229" spans="6:10" x14ac:dyDescent="0.3">
      <c r="F229">
        <v>222</v>
      </c>
      <c r="G229" s="5">
        <f t="shared" si="13"/>
        <v>277115.89858065097</v>
      </c>
      <c r="H229" s="5">
        <f t="shared" si="14"/>
        <v>943782.56524731754</v>
      </c>
      <c r="I229" s="6">
        <f t="shared" si="15"/>
        <v>666666.66666666663</v>
      </c>
      <c r="J229" s="6">
        <f t="shared" si="16"/>
        <v>52000000.000000529</v>
      </c>
    </row>
    <row r="230" spans="6:10" x14ac:dyDescent="0.3">
      <c r="F230">
        <v>223</v>
      </c>
      <c r="G230" s="5">
        <f t="shared" si="13"/>
        <v>273608.1023960858</v>
      </c>
      <c r="H230" s="5">
        <f t="shared" si="14"/>
        <v>940274.76906275237</v>
      </c>
      <c r="I230" s="6">
        <f t="shared" si="15"/>
        <v>666666.66666666663</v>
      </c>
      <c r="J230" s="6">
        <f t="shared" si="16"/>
        <v>51333333.333333865</v>
      </c>
    </row>
    <row r="231" spans="6:10" x14ac:dyDescent="0.3">
      <c r="F231">
        <v>224</v>
      </c>
      <c r="G231" s="5">
        <f t="shared" si="13"/>
        <v>270100.30621152063</v>
      </c>
      <c r="H231" s="5">
        <f t="shared" si="14"/>
        <v>936766.9728781872</v>
      </c>
      <c r="I231" s="6">
        <f t="shared" si="15"/>
        <v>666666.66666666663</v>
      </c>
      <c r="J231" s="6">
        <f t="shared" si="16"/>
        <v>50666666.666667201</v>
      </c>
    </row>
    <row r="232" spans="6:10" x14ac:dyDescent="0.3">
      <c r="F232">
        <v>225</v>
      </c>
      <c r="G232" s="5">
        <f t="shared" si="13"/>
        <v>266592.51002695551</v>
      </c>
      <c r="H232" s="5">
        <f t="shared" si="14"/>
        <v>933259.17669362214</v>
      </c>
      <c r="I232" s="6">
        <f t="shared" si="15"/>
        <v>666666.66666666663</v>
      </c>
      <c r="J232" s="6">
        <f t="shared" si="16"/>
        <v>50000000.000000536</v>
      </c>
    </row>
    <row r="233" spans="6:10" x14ac:dyDescent="0.3">
      <c r="F233">
        <v>226</v>
      </c>
      <c r="G233" s="5">
        <f t="shared" si="13"/>
        <v>263084.71384239034</v>
      </c>
      <c r="H233" s="5">
        <f t="shared" si="14"/>
        <v>929751.38050905697</v>
      </c>
      <c r="I233" s="6">
        <f t="shared" si="15"/>
        <v>666666.66666666663</v>
      </c>
      <c r="J233" s="6">
        <f t="shared" si="16"/>
        <v>49333333.333333872</v>
      </c>
    </row>
    <row r="234" spans="6:10" x14ac:dyDescent="0.3">
      <c r="F234">
        <v>227</v>
      </c>
      <c r="G234" s="5">
        <f t="shared" si="13"/>
        <v>259576.91765782519</v>
      </c>
      <c r="H234" s="5">
        <f t="shared" si="14"/>
        <v>926243.58432449179</v>
      </c>
      <c r="I234" s="6">
        <f t="shared" si="15"/>
        <v>666666.66666666663</v>
      </c>
      <c r="J234" s="6">
        <f t="shared" si="16"/>
        <v>48666666.666667208</v>
      </c>
    </row>
    <row r="235" spans="6:10" x14ac:dyDescent="0.3">
      <c r="F235">
        <v>228</v>
      </c>
      <c r="G235" s="5">
        <f t="shared" si="13"/>
        <v>256069.12147326002</v>
      </c>
      <c r="H235" s="5">
        <f t="shared" si="14"/>
        <v>922735.78813992662</v>
      </c>
      <c r="I235" s="6">
        <f t="shared" si="15"/>
        <v>666666.66666666663</v>
      </c>
      <c r="J235" s="6">
        <f t="shared" si="16"/>
        <v>48000000.000000544</v>
      </c>
    </row>
    <row r="236" spans="6:10" x14ac:dyDescent="0.3">
      <c r="F236" s="11">
        <v>229</v>
      </c>
      <c r="G236" s="7">
        <f t="shared" si="13"/>
        <v>252561.32528869488</v>
      </c>
      <c r="H236" s="7">
        <f t="shared" si="14"/>
        <v>919227.99195536156</v>
      </c>
      <c r="I236" s="12">
        <f t="shared" si="15"/>
        <v>666666.66666666663</v>
      </c>
      <c r="J236" s="12">
        <f t="shared" si="16"/>
        <v>47333333.33333388</v>
      </c>
    </row>
    <row r="237" spans="6:10" x14ac:dyDescent="0.3">
      <c r="F237" s="11">
        <v>230</v>
      </c>
      <c r="G237" s="7">
        <f t="shared" si="13"/>
        <v>249053.52910412973</v>
      </c>
      <c r="H237" s="7">
        <f t="shared" si="14"/>
        <v>915720.19577079639</v>
      </c>
      <c r="I237" s="12">
        <f t="shared" si="15"/>
        <v>666666.66666666663</v>
      </c>
      <c r="J237" s="12">
        <f t="shared" si="16"/>
        <v>46666666.666667216</v>
      </c>
    </row>
    <row r="238" spans="6:10" x14ac:dyDescent="0.3">
      <c r="F238">
        <v>231</v>
      </c>
      <c r="G238" s="5">
        <f t="shared" si="13"/>
        <v>245545.73291956456</v>
      </c>
      <c r="H238" s="5">
        <f t="shared" si="14"/>
        <v>912212.39958623121</v>
      </c>
      <c r="I238" s="6">
        <f t="shared" si="15"/>
        <v>666666.66666666663</v>
      </c>
      <c r="J238" s="6">
        <f t="shared" si="16"/>
        <v>46000000.000000551</v>
      </c>
    </row>
    <row r="239" spans="6:10" x14ac:dyDescent="0.3">
      <c r="F239">
        <v>232</v>
      </c>
      <c r="G239" s="5">
        <f t="shared" si="13"/>
        <v>242037.93673499941</v>
      </c>
      <c r="H239" s="5">
        <f t="shared" si="14"/>
        <v>908704.60340166604</v>
      </c>
      <c r="I239" s="6">
        <f t="shared" si="15"/>
        <v>666666.66666666663</v>
      </c>
      <c r="J239" s="6">
        <f t="shared" si="16"/>
        <v>45333333.333333887</v>
      </c>
    </row>
    <row r="240" spans="6:10" x14ac:dyDescent="0.3">
      <c r="F240">
        <v>233</v>
      </c>
      <c r="G240" s="5">
        <f t="shared" si="13"/>
        <v>238530.14055043427</v>
      </c>
      <c r="H240" s="5">
        <f t="shared" si="14"/>
        <v>905196.80721710087</v>
      </c>
      <c r="I240" s="6">
        <f t="shared" si="15"/>
        <v>666666.66666666663</v>
      </c>
      <c r="J240" s="6">
        <f t="shared" si="16"/>
        <v>44666666.666667223</v>
      </c>
    </row>
    <row r="241" spans="6:10" x14ac:dyDescent="0.3">
      <c r="F241">
        <v>234</v>
      </c>
      <c r="G241" s="5">
        <f t="shared" si="13"/>
        <v>235022.34436586912</v>
      </c>
      <c r="H241" s="5">
        <f t="shared" si="14"/>
        <v>901689.01103253569</v>
      </c>
      <c r="I241" s="6">
        <f t="shared" si="15"/>
        <v>666666.66666666663</v>
      </c>
      <c r="J241" s="6">
        <f t="shared" si="16"/>
        <v>44000000.000000559</v>
      </c>
    </row>
    <row r="242" spans="6:10" x14ac:dyDescent="0.3">
      <c r="F242">
        <v>235</v>
      </c>
      <c r="G242" s="5">
        <f t="shared" si="13"/>
        <v>231514.54818130395</v>
      </c>
      <c r="H242" s="5">
        <f t="shared" si="14"/>
        <v>898181.21484797052</v>
      </c>
      <c r="I242" s="6">
        <f t="shared" si="15"/>
        <v>666666.66666666663</v>
      </c>
      <c r="J242" s="6">
        <f t="shared" si="16"/>
        <v>43333333.333333895</v>
      </c>
    </row>
    <row r="243" spans="6:10" x14ac:dyDescent="0.3">
      <c r="F243">
        <v>236</v>
      </c>
      <c r="G243" s="5">
        <f t="shared" si="13"/>
        <v>228006.75199673881</v>
      </c>
      <c r="H243" s="5">
        <f t="shared" si="14"/>
        <v>894673.41866340546</v>
      </c>
      <c r="I243" s="6">
        <f t="shared" si="15"/>
        <v>666666.66666666663</v>
      </c>
      <c r="J243" s="6">
        <f t="shared" si="16"/>
        <v>42666666.66666723</v>
      </c>
    </row>
    <row r="244" spans="6:10" x14ac:dyDescent="0.3">
      <c r="F244">
        <v>237</v>
      </c>
      <c r="G244" s="5">
        <f t="shared" si="13"/>
        <v>224498.95581217366</v>
      </c>
      <c r="H244" s="5">
        <f t="shared" si="14"/>
        <v>891165.62247884029</v>
      </c>
      <c r="I244" s="6">
        <f t="shared" si="15"/>
        <v>666666.66666666663</v>
      </c>
      <c r="J244" s="6">
        <f t="shared" si="16"/>
        <v>42000000.000000566</v>
      </c>
    </row>
    <row r="245" spans="6:10" x14ac:dyDescent="0.3">
      <c r="F245">
        <v>238</v>
      </c>
      <c r="G245" s="5">
        <f t="shared" si="13"/>
        <v>220991.15962760849</v>
      </c>
      <c r="H245" s="5">
        <f t="shared" si="14"/>
        <v>887657.82629427512</v>
      </c>
      <c r="I245" s="6">
        <f t="shared" si="15"/>
        <v>666666.66666666663</v>
      </c>
      <c r="J245" s="6">
        <f t="shared" si="16"/>
        <v>41333333.333333902</v>
      </c>
    </row>
    <row r="246" spans="6:10" x14ac:dyDescent="0.3">
      <c r="F246">
        <v>239</v>
      </c>
      <c r="G246" s="5">
        <f t="shared" si="13"/>
        <v>217483.36344304334</v>
      </c>
      <c r="H246" s="5">
        <f t="shared" si="14"/>
        <v>884150.03010970994</v>
      </c>
      <c r="I246" s="6">
        <f t="shared" si="15"/>
        <v>666666.66666666663</v>
      </c>
      <c r="J246" s="6">
        <f t="shared" si="16"/>
        <v>40666666.666667238</v>
      </c>
    </row>
    <row r="247" spans="6:10" x14ac:dyDescent="0.3">
      <c r="F247">
        <v>240</v>
      </c>
      <c r="G247" s="5">
        <f t="shared" si="13"/>
        <v>213975.5672584782</v>
      </c>
      <c r="H247" s="5">
        <f t="shared" si="14"/>
        <v>880642.23392514489</v>
      </c>
      <c r="I247" s="6">
        <f t="shared" si="15"/>
        <v>666666.66666666663</v>
      </c>
      <c r="J247" s="6">
        <f t="shared" si="16"/>
        <v>40000000.000000574</v>
      </c>
    </row>
    <row r="248" spans="6:10" x14ac:dyDescent="0.3">
      <c r="F248">
        <v>241</v>
      </c>
      <c r="G248" s="5">
        <f t="shared" si="13"/>
        <v>210467.77107391303</v>
      </c>
      <c r="H248" s="5">
        <f t="shared" si="14"/>
        <v>877134.43774057971</v>
      </c>
      <c r="I248" s="6">
        <f t="shared" si="15"/>
        <v>666666.66666666663</v>
      </c>
      <c r="J248" s="6">
        <f t="shared" si="16"/>
        <v>39333333.33333391</v>
      </c>
    </row>
    <row r="249" spans="6:10" x14ac:dyDescent="0.3">
      <c r="F249">
        <v>242</v>
      </c>
      <c r="G249" s="5">
        <f t="shared" si="13"/>
        <v>206959.97488934788</v>
      </c>
      <c r="H249" s="5">
        <f t="shared" si="14"/>
        <v>873626.64155601454</v>
      </c>
      <c r="I249" s="6">
        <f t="shared" si="15"/>
        <v>666666.66666666663</v>
      </c>
      <c r="J249" s="6">
        <f t="shared" si="16"/>
        <v>38666666.666667245</v>
      </c>
    </row>
    <row r="250" spans="6:10" x14ac:dyDescent="0.3">
      <c r="F250">
        <v>243</v>
      </c>
      <c r="G250" s="5">
        <f t="shared" si="13"/>
        <v>203452.17870478274</v>
      </c>
      <c r="H250" s="5">
        <f t="shared" si="14"/>
        <v>870118.84537144937</v>
      </c>
      <c r="I250" s="6">
        <f t="shared" si="15"/>
        <v>666666.66666666663</v>
      </c>
      <c r="J250" s="6">
        <f t="shared" si="16"/>
        <v>38000000.000000581</v>
      </c>
    </row>
    <row r="251" spans="6:10" x14ac:dyDescent="0.3">
      <c r="F251">
        <v>244</v>
      </c>
      <c r="G251" s="5">
        <f t="shared" si="13"/>
        <v>199944.38252021756</v>
      </c>
      <c r="H251" s="5">
        <f t="shared" si="14"/>
        <v>866611.04918688419</v>
      </c>
      <c r="I251" s="6">
        <f t="shared" si="15"/>
        <v>666666.66666666663</v>
      </c>
      <c r="J251" s="6">
        <f t="shared" si="16"/>
        <v>37333333.333333917</v>
      </c>
    </row>
    <row r="252" spans="6:10" x14ac:dyDescent="0.3">
      <c r="F252">
        <v>245</v>
      </c>
      <c r="G252" s="5">
        <f t="shared" si="13"/>
        <v>196436.58633565242</v>
      </c>
      <c r="H252" s="5">
        <f t="shared" si="14"/>
        <v>863103.25300231902</v>
      </c>
      <c r="I252" s="6">
        <f t="shared" si="15"/>
        <v>666666.66666666663</v>
      </c>
      <c r="J252" s="6">
        <f t="shared" si="16"/>
        <v>36666666.666667253</v>
      </c>
    </row>
    <row r="253" spans="6:10" x14ac:dyDescent="0.3">
      <c r="F253">
        <v>246</v>
      </c>
      <c r="G253" s="5">
        <f t="shared" si="13"/>
        <v>192928.79015108728</v>
      </c>
      <c r="H253" s="5">
        <f t="shared" si="14"/>
        <v>859595.45681775385</v>
      </c>
      <c r="I253" s="6">
        <f t="shared" si="15"/>
        <v>666666.66666666663</v>
      </c>
      <c r="J253" s="6">
        <f t="shared" si="16"/>
        <v>36000000.000000589</v>
      </c>
    </row>
    <row r="254" spans="6:10" x14ac:dyDescent="0.3">
      <c r="F254">
        <v>247</v>
      </c>
      <c r="G254" s="5">
        <f t="shared" si="13"/>
        <v>189420.9939665221</v>
      </c>
      <c r="H254" s="5">
        <f t="shared" si="14"/>
        <v>856087.66063318867</v>
      </c>
      <c r="I254" s="6">
        <f t="shared" si="15"/>
        <v>666666.66666666663</v>
      </c>
      <c r="J254" s="6">
        <f t="shared" si="16"/>
        <v>35333333.333333924</v>
      </c>
    </row>
    <row r="255" spans="6:10" x14ac:dyDescent="0.3">
      <c r="F255">
        <v>248</v>
      </c>
      <c r="G255" s="5">
        <f t="shared" si="13"/>
        <v>185913.19778195696</v>
      </c>
      <c r="H255" s="5">
        <f t="shared" si="14"/>
        <v>852579.86444862362</v>
      </c>
      <c r="I255" s="6">
        <f t="shared" si="15"/>
        <v>666666.66666666663</v>
      </c>
      <c r="J255" s="6">
        <f t="shared" si="16"/>
        <v>34666666.66666726</v>
      </c>
    </row>
    <row r="256" spans="6:10" x14ac:dyDescent="0.3">
      <c r="F256">
        <v>249</v>
      </c>
      <c r="G256" s="5">
        <f t="shared" si="13"/>
        <v>182405.40159739181</v>
      </c>
      <c r="H256" s="5">
        <f t="shared" si="14"/>
        <v>849072.06826405844</v>
      </c>
      <c r="I256" s="6">
        <f t="shared" si="15"/>
        <v>666666.66666666663</v>
      </c>
      <c r="J256" s="6">
        <f t="shared" si="16"/>
        <v>34000000.000000596</v>
      </c>
    </row>
    <row r="257" spans="6:10" x14ac:dyDescent="0.3">
      <c r="F257">
        <v>250</v>
      </c>
      <c r="G257" s="5">
        <f t="shared" si="13"/>
        <v>178897.60541282664</v>
      </c>
      <c r="H257" s="5">
        <f t="shared" si="14"/>
        <v>845564.27207949327</v>
      </c>
      <c r="I257" s="6">
        <f t="shared" si="15"/>
        <v>666666.66666666663</v>
      </c>
      <c r="J257" s="6">
        <f t="shared" si="16"/>
        <v>33333333.333333928</v>
      </c>
    </row>
    <row r="258" spans="6:10" x14ac:dyDescent="0.3">
      <c r="F258">
        <v>251</v>
      </c>
      <c r="G258" s="5">
        <f t="shared" si="13"/>
        <v>175389.80922826147</v>
      </c>
      <c r="H258" s="5">
        <f t="shared" si="14"/>
        <v>842056.47589492809</v>
      </c>
      <c r="I258" s="6">
        <f t="shared" si="15"/>
        <v>666666.66666666663</v>
      </c>
      <c r="J258" s="6">
        <f t="shared" si="16"/>
        <v>32666666.66666726</v>
      </c>
    </row>
    <row r="259" spans="6:10" x14ac:dyDescent="0.3">
      <c r="F259">
        <v>252</v>
      </c>
      <c r="G259" s="5">
        <f t="shared" si="13"/>
        <v>171882.01304369629</v>
      </c>
      <c r="H259" s="5">
        <f t="shared" si="14"/>
        <v>838548.67971036292</v>
      </c>
      <c r="I259" s="6">
        <f t="shared" si="15"/>
        <v>666666.66666666663</v>
      </c>
      <c r="J259" s="6">
        <f t="shared" si="16"/>
        <v>32000000.000000592</v>
      </c>
    </row>
    <row r="260" spans="6:10" x14ac:dyDescent="0.3">
      <c r="F260">
        <v>253</v>
      </c>
      <c r="G260" s="5">
        <f t="shared" si="13"/>
        <v>168374.21685913112</v>
      </c>
      <c r="H260" s="5">
        <f t="shared" si="14"/>
        <v>835040.88352579775</v>
      </c>
      <c r="I260" s="6">
        <f t="shared" si="15"/>
        <v>666666.66666666663</v>
      </c>
      <c r="J260" s="6">
        <f t="shared" si="16"/>
        <v>31333333.333333924</v>
      </c>
    </row>
    <row r="261" spans="6:10" x14ac:dyDescent="0.3">
      <c r="F261">
        <v>254</v>
      </c>
      <c r="G261" s="5">
        <f t="shared" si="13"/>
        <v>164866.42067456595</v>
      </c>
      <c r="H261" s="5">
        <f t="shared" si="14"/>
        <v>831533.08734123257</v>
      </c>
      <c r="I261" s="6">
        <f t="shared" si="15"/>
        <v>666666.66666666663</v>
      </c>
      <c r="J261" s="6">
        <f t="shared" si="16"/>
        <v>30666666.666667257</v>
      </c>
    </row>
    <row r="262" spans="6:10" x14ac:dyDescent="0.3">
      <c r="F262">
        <v>255</v>
      </c>
      <c r="G262" s="5">
        <f t="shared" si="13"/>
        <v>161358.62449000077</v>
      </c>
      <c r="H262" s="5">
        <f t="shared" si="14"/>
        <v>828025.2911566674</v>
      </c>
      <c r="I262" s="6">
        <f t="shared" si="15"/>
        <v>666666.66666666663</v>
      </c>
      <c r="J262" s="6">
        <f t="shared" si="16"/>
        <v>30000000.000000589</v>
      </c>
    </row>
    <row r="263" spans="6:10" x14ac:dyDescent="0.3">
      <c r="F263">
        <v>256</v>
      </c>
      <c r="G263" s="5">
        <f t="shared" si="13"/>
        <v>157850.8283054356</v>
      </c>
      <c r="H263" s="5">
        <f t="shared" si="14"/>
        <v>824517.49497210223</v>
      </c>
      <c r="I263" s="6">
        <f t="shared" si="15"/>
        <v>666666.66666666663</v>
      </c>
      <c r="J263" s="6">
        <f t="shared" si="16"/>
        <v>29333333.333333921</v>
      </c>
    </row>
    <row r="264" spans="6:10" x14ac:dyDescent="0.3">
      <c r="F264">
        <v>257</v>
      </c>
      <c r="G264" s="5">
        <f t="shared" si="13"/>
        <v>154343.03212087043</v>
      </c>
      <c r="H264" s="5">
        <f t="shared" si="14"/>
        <v>821009.69878753705</v>
      </c>
      <c r="I264" s="6">
        <f t="shared" si="15"/>
        <v>666666.66666666663</v>
      </c>
      <c r="J264" s="6">
        <f t="shared" si="16"/>
        <v>28666666.666667253</v>
      </c>
    </row>
    <row r="265" spans="6:10" x14ac:dyDescent="0.3">
      <c r="F265">
        <v>258</v>
      </c>
      <c r="G265" s="5">
        <f t="shared" ref="G265:G307" si="17">J264*$H$4</f>
        <v>150835.23593630525</v>
      </c>
      <c r="H265" s="5">
        <f t="shared" ref="H265:H307" si="18">G265+I265</f>
        <v>817501.90260297188</v>
      </c>
      <c r="I265" s="6">
        <f t="shared" ref="I265:I307" si="19">$J$7/($G$3*12)</f>
        <v>666666.66666666663</v>
      </c>
      <c r="J265" s="6">
        <f t="shared" ref="J265:J307" si="20">J264-I265</f>
        <v>28000000.000000585</v>
      </c>
    </row>
    <row r="266" spans="6:10" x14ac:dyDescent="0.3">
      <c r="F266">
        <v>259</v>
      </c>
      <c r="G266" s="5">
        <f t="shared" si="17"/>
        <v>147327.43975174008</v>
      </c>
      <c r="H266" s="5">
        <f t="shared" si="18"/>
        <v>813994.10641840671</v>
      </c>
      <c r="I266" s="6">
        <f t="shared" si="19"/>
        <v>666666.66666666663</v>
      </c>
      <c r="J266" s="6">
        <f t="shared" si="20"/>
        <v>27333333.333333917</v>
      </c>
    </row>
    <row r="267" spans="6:10" x14ac:dyDescent="0.3">
      <c r="F267">
        <v>260</v>
      </c>
      <c r="G267" s="5">
        <f t="shared" si="17"/>
        <v>143819.64356717491</v>
      </c>
      <c r="H267" s="5">
        <f t="shared" si="18"/>
        <v>810486.31023384153</v>
      </c>
      <c r="I267" s="6">
        <f t="shared" si="19"/>
        <v>666666.66666666663</v>
      </c>
      <c r="J267" s="6">
        <f t="shared" si="20"/>
        <v>26666666.666667249</v>
      </c>
    </row>
    <row r="268" spans="6:10" x14ac:dyDescent="0.3">
      <c r="F268">
        <v>261</v>
      </c>
      <c r="G268" s="5">
        <f t="shared" si="17"/>
        <v>140311.84738260973</v>
      </c>
      <c r="H268" s="5">
        <f t="shared" si="18"/>
        <v>806978.51404927636</v>
      </c>
      <c r="I268" s="6">
        <f t="shared" si="19"/>
        <v>666666.66666666663</v>
      </c>
      <c r="J268" s="6">
        <f t="shared" si="20"/>
        <v>26000000.000000581</v>
      </c>
    </row>
    <row r="269" spans="6:10" x14ac:dyDescent="0.3">
      <c r="F269">
        <v>262</v>
      </c>
      <c r="G269" s="5">
        <f t="shared" si="17"/>
        <v>136804.05119804456</v>
      </c>
      <c r="H269" s="5">
        <f t="shared" si="18"/>
        <v>803470.71786471119</v>
      </c>
      <c r="I269" s="6">
        <f t="shared" si="19"/>
        <v>666666.66666666663</v>
      </c>
      <c r="J269" s="6">
        <f t="shared" si="20"/>
        <v>25333333.333333913</v>
      </c>
    </row>
    <row r="270" spans="6:10" x14ac:dyDescent="0.3">
      <c r="F270">
        <v>263</v>
      </c>
      <c r="G270" s="5">
        <f t="shared" si="17"/>
        <v>133296.25501347939</v>
      </c>
      <c r="H270" s="5">
        <f t="shared" si="18"/>
        <v>799962.92168014601</v>
      </c>
      <c r="I270" s="6">
        <f t="shared" si="19"/>
        <v>666666.66666666663</v>
      </c>
      <c r="J270" s="6">
        <f t="shared" si="20"/>
        <v>24666666.666667245</v>
      </c>
    </row>
    <row r="271" spans="6:10" x14ac:dyDescent="0.3">
      <c r="F271">
        <v>264</v>
      </c>
      <c r="G271" s="5">
        <f t="shared" si="17"/>
        <v>129788.45882891423</v>
      </c>
      <c r="H271" s="5">
        <f t="shared" si="18"/>
        <v>796455.12549558084</v>
      </c>
      <c r="I271" s="6">
        <f t="shared" si="19"/>
        <v>666666.66666666663</v>
      </c>
      <c r="J271" s="6">
        <f t="shared" si="20"/>
        <v>24000000.000000577</v>
      </c>
    </row>
    <row r="272" spans="6:10" x14ac:dyDescent="0.3">
      <c r="F272">
        <v>265</v>
      </c>
      <c r="G272" s="5">
        <f t="shared" si="17"/>
        <v>126280.66264434905</v>
      </c>
      <c r="H272" s="5">
        <f t="shared" si="18"/>
        <v>792947.32931101567</v>
      </c>
      <c r="I272" s="6">
        <f t="shared" si="19"/>
        <v>666666.66666666663</v>
      </c>
      <c r="J272" s="6">
        <f t="shared" si="20"/>
        <v>23333333.33333391</v>
      </c>
    </row>
    <row r="273" spans="6:10" x14ac:dyDescent="0.3">
      <c r="F273">
        <v>266</v>
      </c>
      <c r="G273" s="5">
        <f t="shared" si="17"/>
        <v>122772.86645978388</v>
      </c>
      <c r="H273" s="5">
        <f t="shared" si="18"/>
        <v>789439.53312645049</v>
      </c>
      <c r="I273" s="6">
        <f t="shared" si="19"/>
        <v>666666.66666666663</v>
      </c>
      <c r="J273" s="6">
        <f t="shared" si="20"/>
        <v>22666666.666667242</v>
      </c>
    </row>
    <row r="274" spans="6:10" x14ac:dyDescent="0.3">
      <c r="F274">
        <v>267</v>
      </c>
      <c r="G274" s="5">
        <f t="shared" si="17"/>
        <v>119265.07027521871</v>
      </c>
      <c r="H274" s="5">
        <f t="shared" si="18"/>
        <v>785931.73694188532</v>
      </c>
      <c r="I274" s="6">
        <f t="shared" si="19"/>
        <v>666666.66666666663</v>
      </c>
      <c r="J274" s="6">
        <f t="shared" si="20"/>
        <v>22000000.000000574</v>
      </c>
    </row>
    <row r="275" spans="6:10" x14ac:dyDescent="0.3">
      <c r="F275">
        <v>268</v>
      </c>
      <c r="G275" s="5">
        <f t="shared" si="17"/>
        <v>115757.27409065353</v>
      </c>
      <c r="H275" s="5">
        <f t="shared" si="18"/>
        <v>782423.94075732015</v>
      </c>
      <c r="I275" s="6">
        <f t="shared" si="19"/>
        <v>666666.66666666663</v>
      </c>
      <c r="J275" s="6">
        <f t="shared" si="20"/>
        <v>21333333.333333906</v>
      </c>
    </row>
    <row r="276" spans="6:10" x14ac:dyDescent="0.3">
      <c r="F276">
        <v>269</v>
      </c>
      <c r="G276" s="5">
        <f t="shared" si="17"/>
        <v>112249.47790608836</v>
      </c>
      <c r="H276" s="5">
        <f t="shared" si="18"/>
        <v>778916.14457275497</v>
      </c>
      <c r="I276" s="6">
        <f t="shared" si="19"/>
        <v>666666.66666666663</v>
      </c>
      <c r="J276" s="6">
        <f t="shared" si="20"/>
        <v>20666666.666667238</v>
      </c>
    </row>
    <row r="277" spans="6:10" x14ac:dyDescent="0.3">
      <c r="F277">
        <v>270</v>
      </c>
      <c r="G277" s="5">
        <f t="shared" si="17"/>
        <v>108741.68172152319</v>
      </c>
      <c r="H277" s="5">
        <f t="shared" si="18"/>
        <v>775408.3483881898</v>
      </c>
      <c r="I277" s="6">
        <f t="shared" si="19"/>
        <v>666666.66666666663</v>
      </c>
      <c r="J277" s="6">
        <f t="shared" si="20"/>
        <v>20000000.00000057</v>
      </c>
    </row>
    <row r="278" spans="6:10" x14ac:dyDescent="0.3">
      <c r="F278">
        <v>271</v>
      </c>
      <c r="G278" s="5">
        <f t="shared" si="17"/>
        <v>105233.88553695801</v>
      </c>
      <c r="H278" s="5">
        <f t="shared" si="18"/>
        <v>771900.55220362463</v>
      </c>
      <c r="I278" s="6">
        <f t="shared" si="19"/>
        <v>666666.66666666663</v>
      </c>
      <c r="J278" s="6">
        <f t="shared" si="20"/>
        <v>19333333.333333902</v>
      </c>
    </row>
    <row r="279" spans="6:10" x14ac:dyDescent="0.3">
      <c r="F279">
        <v>272</v>
      </c>
      <c r="G279" s="5">
        <f t="shared" si="17"/>
        <v>101726.08935239284</v>
      </c>
      <c r="H279" s="5">
        <f t="shared" si="18"/>
        <v>768392.75601905945</v>
      </c>
      <c r="I279" s="6">
        <f t="shared" si="19"/>
        <v>666666.66666666663</v>
      </c>
      <c r="J279" s="6">
        <f t="shared" si="20"/>
        <v>18666666.666667234</v>
      </c>
    </row>
    <row r="280" spans="6:10" x14ac:dyDescent="0.3">
      <c r="F280">
        <v>273</v>
      </c>
      <c r="G280" s="5">
        <f t="shared" si="17"/>
        <v>98218.293167827665</v>
      </c>
      <c r="H280" s="5">
        <f t="shared" si="18"/>
        <v>764884.95983449428</v>
      </c>
      <c r="I280" s="6">
        <f t="shared" si="19"/>
        <v>666666.66666666663</v>
      </c>
      <c r="J280" s="6">
        <f t="shared" si="20"/>
        <v>18000000.000000566</v>
      </c>
    </row>
    <row r="281" spans="6:10" x14ac:dyDescent="0.3">
      <c r="F281">
        <v>274</v>
      </c>
      <c r="G281" s="5">
        <f t="shared" si="17"/>
        <v>94710.496983262492</v>
      </c>
      <c r="H281" s="5">
        <f t="shared" si="18"/>
        <v>761377.16364992911</v>
      </c>
      <c r="I281" s="6">
        <f t="shared" si="19"/>
        <v>666666.66666666663</v>
      </c>
      <c r="J281" s="6">
        <f t="shared" si="20"/>
        <v>17333333.333333898</v>
      </c>
    </row>
    <row r="282" spans="6:10" x14ac:dyDescent="0.3">
      <c r="F282">
        <v>275</v>
      </c>
      <c r="G282" s="5">
        <f t="shared" si="17"/>
        <v>91202.700798697319</v>
      </c>
      <c r="H282" s="5">
        <f t="shared" si="18"/>
        <v>757869.36746536393</v>
      </c>
      <c r="I282" s="6">
        <f t="shared" si="19"/>
        <v>666666.66666666663</v>
      </c>
      <c r="J282" s="6">
        <f t="shared" si="20"/>
        <v>16666666.666667232</v>
      </c>
    </row>
    <row r="283" spans="6:10" x14ac:dyDescent="0.3">
      <c r="F283">
        <v>276</v>
      </c>
      <c r="G283" s="5">
        <f t="shared" si="17"/>
        <v>87694.904614132145</v>
      </c>
      <c r="H283" s="5">
        <f t="shared" si="18"/>
        <v>754361.57128079876</v>
      </c>
      <c r="I283" s="6">
        <f t="shared" si="19"/>
        <v>666666.66666666663</v>
      </c>
      <c r="J283" s="6">
        <f t="shared" si="20"/>
        <v>16000000.000000566</v>
      </c>
    </row>
    <row r="284" spans="6:10" x14ac:dyDescent="0.3">
      <c r="F284">
        <v>277</v>
      </c>
      <c r="G284" s="5">
        <f t="shared" si="17"/>
        <v>84187.108429566986</v>
      </c>
      <c r="H284" s="5">
        <f t="shared" si="18"/>
        <v>750853.77509623358</v>
      </c>
      <c r="I284" s="6">
        <f t="shared" si="19"/>
        <v>666666.66666666663</v>
      </c>
      <c r="J284" s="6">
        <f t="shared" si="20"/>
        <v>15333333.3333339</v>
      </c>
    </row>
    <row r="285" spans="6:10" x14ac:dyDescent="0.3">
      <c r="F285">
        <v>278</v>
      </c>
      <c r="G285" s="5">
        <f t="shared" si="17"/>
        <v>80679.312245001827</v>
      </c>
      <c r="H285" s="5">
        <f t="shared" si="18"/>
        <v>747345.97891166841</v>
      </c>
      <c r="I285" s="6">
        <f t="shared" si="19"/>
        <v>666666.66666666663</v>
      </c>
      <c r="J285" s="6">
        <f t="shared" si="20"/>
        <v>14666666.666667234</v>
      </c>
    </row>
    <row r="286" spans="6:10" x14ac:dyDescent="0.3">
      <c r="F286">
        <v>279</v>
      </c>
      <c r="G286" s="5">
        <f t="shared" si="17"/>
        <v>77171.516060436654</v>
      </c>
      <c r="H286" s="5">
        <f t="shared" si="18"/>
        <v>743838.18272710324</v>
      </c>
      <c r="I286" s="6">
        <f t="shared" si="19"/>
        <v>666666.66666666663</v>
      </c>
      <c r="J286" s="6">
        <f t="shared" si="20"/>
        <v>14000000.000000568</v>
      </c>
    </row>
    <row r="287" spans="6:10" x14ac:dyDescent="0.3">
      <c r="F287">
        <v>280</v>
      </c>
      <c r="G287" s="5">
        <f t="shared" si="17"/>
        <v>73663.719875871495</v>
      </c>
      <c r="H287" s="5">
        <f t="shared" si="18"/>
        <v>740330.38654253818</v>
      </c>
      <c r="I287" s="6">
        <f t="shared" si="19"/>
        <v>666666.66666666663</v>
      </c>
      <c r="J287" s="6">
        <f t="shared" si="20"/>
        <v>13333333.333333902</v>
      </c>
    </row>
    <row r="288" spans="6:10" x14ac:dyDescent="0.3">
      <c r="F288">
        <v>281</v>
      </c>
      <c r="G288" s="5">
        <f t="shared" si="17"/>
        <v>70155.923691306336</v>
      </c>
      <c r="H288" s="5">
        <f t="shared" si="18"/>
        <v>736822.59035797301</v>
      </c>
      <c r="I288" s="6">
        <f t="shared" si="19"/>
        <v>666666.66666666663</v>
      </c>
      <c r="J288" s="6">
        <f t="shared" si="20"/>
        <v>12666666.666667236</v>
      </c>
    </row>
    <row r="289" spans="6:10" x14ac:dyDescent="0.3">
      <c r="F289">
        <v>282</v>
      </c>
      <c r="G289" s="5">
        <f t="shared" si="17"/>
        <v>66648.127506741163</v>
      </c>
      <c r="H289" s="5">
        <f t="shared" si="18"/>
        <v>733314.79417340783</v>
      </c>
      <c r="I289" s="6">
        <f t="shared" si="19"/>
        <v>666666.66666666663</v>
      </c>
      <c r="J289" s="6">
        <f t="shared" si="20"/>
        <v>12000000.00000057</v>
      </c>
    </row>
    <row r="290" spans="6:10" x14ac:dyDescent="0.3">
      <c r="F290">
        <v>283</v>
      </c>
      <c r="G290" s="5">
        <f t="shared" si="17"/>
        <v>63140.331322176004</v>
      </c>
      <c r="H290" s="5">
        <f t="shared" si="18"/>
        <v>729806.99798884266</v>
      </c>
      <c r="I290" s="6">
        <f t="shared" si="19"/>
        <v>666666.66666666663</v>
      </c>
      <c r="J290" s="6">
        <f t="shared" si="20"/>
        <v>11333333.333333904</v>
      </c>
    </row>
    <row r="291" spans="6:10" x14ac:dyDescent="0.3">
      <c r="F291">
        <v>284</v>
      </c>
      <c r="G291" s="5">
        <f t="shared" si="17"/>
        <v>59632.535137610837</v>
      </c>
      <c r="H291" s="5">
        <f t="shared" si="18"/>
        <v>726299.20180427749</v>
      </c>
      <c r="I291" s="6">
        <f t="shared" si="19"/>
        <v>666666.66666666663</v>
      </c>
      <c r="J291" s="6">
        <f t="shared" si="20"/>
        <v>10666666.666667238</v>
      </c>
    </row>
    <row r="292" spans="6:10" x14ac:dyDescent="0.3">
      <c r="F292">
        <v>285</v>
      </c>
      <c r="G292" s="5">
        <f t="shared" si="17"/>
        <v>56124.738953045678</v>
      </c>
      <c r="H292" s="5">
        <f t="shared" si="18"/>
        <v>722791.40561971231</v>
      </c>
      <c r="I292" s="6">
        <f t="shared" si="19"/>
        <v>666666.66666666663</v>
      </c>
      <c r="J292" s="6">
        <f t="shared" si="20"/>
        <v>10000000.000000572</v>
      </c>
    </row>
    <row r="293" spans="6:10" x14ac:dyDescent="0.3">
      <c r="F293">
        <v>286</v>
      </c>
      <c r="G293" s="5">
        <f t="shared" si="17"/>
        <v>52616.942768480512</v>
      </c>
      <c r="H293" s="5">
        <f t="shared" si="18"/>
        <v>719283.60943514714</v>
      </c>
      <c r="I293" s="6">
        <f t="shared" si="19"/>
        <v>666666.66666666663</v>
      </c>
      <c r="J293" s="6">
        <f t="shared" si="20"/>
        <v>9333333.3333339058</v>
      </c>
    </row>
    <row r="294" spans="6:10" x14ac:dyDescent="0.3">
      <c r="F294">
        <v>287</v>
      </c>
      <c r="G294" s="5">
        <f t="shared" si="17"/>
        <v>49109.146583915346</v>
      </c>
      <c r="H294" s="5">
        <f t="shared" si="18"/>
        <v>715775.81325058197</v>
      </c>
      <c r="I294" s="6">
        <f t="shared" si="19"/>
        <v>666666.66666666663</v>
      </c>
      <c r="J294" s="6">
        <f t="shared" si="20"/>
        <v>8666666.6666672397</v>
      </c>
    </row>
    <row r="295" spans="6:10" x14ac:dyDescent="0.3">
      <c r="F295">
        <v>288</v>
      </c>
      <c r="G295" s="5">
        <f t="shared" si="17"/>
        <v>45601.350399350187</v>
      </c>
      <c r="H295" s="5">
        <f t="shared" si="18"/>
        <v>712268.01706601679</v>
      </c>
      <c r="I295" s="6">
        <f t="shared" si="19"/>
        <v>666666.66666666663</v>
      </c>
      <c r="J295" s="6">
        <f t="shared" si="20"/>
        <v>8000000.0000005728</v>
      </c>
    </row>
    <row r="296" spans="6:10" x14ac:dyDescent="0.3">
      <c r="F296">
        <v>289</v>
      </c>
      <c r="G296" s="5">
        <f t="shared" si="17"/>
        <v>42093.554214785014</v>
      </c>
      <c r="H296" s="5">
        <f t="shared" si="18"/>
        <v>708760.22088145162</v>
      </c>
      <c r="I296" s="6">
        <f t="shared" si="19"/>
        <v>666666.66666666663</v>
      </c>
      <c r="J296" s="6">
        <f t="shared" si="20"/>
        <v>7333333.3333339058</v>
      </c>
    </row>
    <row r="297" spans="6:10" x14ac:dyDescent="0.3">
      <c r="F297">
        <v>290</v>
      </c>
      <c r="G297" s="5">
        <f t="shared" si="17"/>
        <v>38585.758030219848</v>
      </c>
      <c r="H297" s="5">
        <f t="shared" si="18"/>
        <v>705252.42469688645</v>
      </c>
      <c r="I297" s="6">
        <f t="shared" si="19"/>
        <v>666666.66666666663</v>
      </c>
      <c r="J297" s="6">
        <f t="shared" si="20"/>
        <v>6666666.6666672388</v>
      </c>
    </row>
    <row r="298" spans="6:10" x14ac:dyDescent="0.3">
      <c r="F298">
        <v>291</v>
      </c>
      <c r="G298" s="5">
        <f t="shared" si="17"/>
        <v>35077.961845654681</v>
      </c>
      <c r="H298" s="5">
        <f t="shared" si="18"/>
        <v>701744.62851232127</v>
      </c>
      <c r="I298" s="6">
        <f t="shared" si="19"/>
        <v>666666.66666666663</v>
      </c>
      <c r="J298" s="6">
        <f t="shared" si="20"/>
        <v>6000000.0000005718</v>
      </c>
    </row>
    <row r="299" spans="6:10" x14ac:dyDescent="0.3">
      <c r="F299">
        <v>292</v>
      </c>
      <c r="G299" s="5">
        <f t="shared" si="17"/>
        <v>31570.165661089512</v>
      </c>
      <c r="H299" s="5">
        <f t="shared" si="18"/>
        <v>698236.8323277561</v>
      </c>
      <c r="I299" s="6">
        <f t="shared" si="19"/>
        <v>666666.66666666663</v>
      </c>
      <c r="J299" s="6">
        <f t="shared" si="20"/>
        <v>5333333.3333339049</v>
      </c>
    </row>
    <row r="300" spans="6:10" x14ac:dyDescent="0.3">
      <c r="F300">
        <v>293</v>
      </c>
      <c r="G300" s="5">
        <f t="shared" si="17"/>
        <v>28062.369476524342</v>
      </c>
      <c r="H300" s="5">
        <f t="shared" si="18"/>
        <v>694729.03614319093</v>
      </c>
      <c r="I300" s="6">
        <f t="shared" si="19"/>
        <v>666666.66666666663</v>
      </c>
      <c r="J300" s="6">
        <f t="shared" si="20"/>
        <v>4666666.6666672379</v>
      </c>
    </row>
    <row r="301" spans="6:10" x14ac:dyDescent="0.3">
      <c r="F301">
        <v>294</v>
      </c>
      <c r="G301" s="5">
        <f t="shared" si="17"/>
        <v>24554.573291959176</v>
      </c>
      <c r="H301" s="5">
        <f t="shared" si="18"/>
        <v>691221.23995862575</v>
      </c>
      <c r="I301" s="6">
        <f t="shared" si="19"/>
        <v>666666.66666666663</v>
      </c>
      <c r="J301" s="6">
        <f t="shared" si="20"/>
        <v>4000000.0000005714</v>
      </c>
    </row>
    <row r="302" spans="6:10" x14ac:dyDescent="0.3">
      <c r="F302">
        <v>295</v>
      </c>
      <c r="G302" s="5">
        <f t="shared" si="17"/>
        <v>21046.777107394009</v>
      </c>
      <c r="H302" s="5">
        <f t="shared" si="18"/>
        <v>687713.44377406058</v>
      </c>
      <c r="I302" s="6">
        <f t="shared" si="19"/>
        <v>666666.66666666663</v>
      </c>
      <c r="J302" s="6">
        <f t="shared" si="20"/>
        <v>3333333.3333339049</v>
      </c>
    </row>
    <row r="303" spans="6:10" x14ac:dyDescent="0.3">
      <c r="F303">
        <v>296</v>
      </c>
      <c r="G303" s="5">
        <f t="shared" si="17"/>
        <v>17538.980922828843</v>
      </c>
      <c r="H303" s="5">
        <f t="shared" si="18"/>
        <v>684205.64758949552</v>
      </c>
      <c r="I303" s="6">
        <f t="shared" si="19"/>
        <v>666666.66666666663</v>
      </c>
      <c r="J303" s="6">
        <f t="shared" si="20"/>
        <v>2666666.6666672383</v>
      </c>
    </row>
    <row r="304" spans="6:10" x14ac:dyDescent="0.3">
      <c r="F304">
        <v>297</v>
      </c>
      <c r="G304" s="5">
        <f t="shared" si="17"/>
        <v>14031.184738263675</v>
      </c>
      <c r="H304" s="5">
        <f t="shared" si="18"/>
        <v>680697.85140493035</v>
      </c>
      <c r="I304" s="6">
        <f t="shared" si="19"/>
        <v>666666.66666666663</v>
      </c>
      <c r="J304" s="6">
        <f t="shared" si="20"/>
        <v>2000000.0000005718</v>
      </c>
    </row>
    <row r="305" spans="6:10" x14ac:dyDescent="0.3">
      <c r="F305">
        <v>298</v>
      </c>
      <c r="G305" s="5">
        <f t="shared" si="17"/>
        <v>10523.388553698509</v>
      </c>
      <c r="H305" s="5">
        <f t="shared" si="18"/>
        <v>677190.05522036518</v>
      </c>
      <c r="I305" s="6">
        <f t="shared" si="19"/>
        <v>666666.66666666663</v>
      </c>
      <c r="J305" s="6">
        <f t="shared" si="20"/>
        <v>1333333.3333339053</v>
      </c>
    </row>
    <row r="306" spans="6:10" x14ac:dyDescent="0.3">
      <c r="F306">
        <v>299</v>
      </c>
      <c r="G306" s="5">
        <f t="shared" si="17"/>
        <v>7015.5923691333437</v>
      </c>
      <c r="H306" s="5">
        <f t="shared" si="18"/>
        <v>673682.2590358</v>
      </c>
      <c r="I306" s="6">
        <f t="shared" si="19"/>
        <v>666666.66666666663</v>
      </c>
      <c r="J306" s="6">
        <f t="shared" si="20"/>
        <v>666666.66666723869</v>
      </c>
    </row>
    <row r="307" spans="6:10" x14ac:dyDescent="0.3">
      <c r="F307">
        <v>300</v>
      </c>
      <c r="G307" s="5">
        <f t="shared" si="17"/>
        <v>3507.7961845681766</v>
      </c>
      <c r="H307" s="5">
        <f t="shared" si="18"/>
        <v>670174.46285123483</v>
      </c>
      <c r="I307" s="6">
        <f t="shared" si="19"/>
        <v>666666.66666666663</v>
      </c>
      <c r="J307" s="6">
        <f t="shared" si="20"/>
        <v>5.7206489145755768E-7</v>
      </c>
    </row>
  </sheetData>
  <mergeCells count="2">
    <mergeCell ref="M9:P9"/>
    <mergeCell ref="N10:O10"/>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FF78-5EEC-4273-AC58-9AAD26341F8E}">
  <dimension ref="B2:L308"/>
  <sheetViews>
    <sheetView workbookViewId="0">
      <selection activeCell="L14" sqref="L14"/>
    </sheetView>
  </sheetViews>
  <sheetFormatPr baseColWidth="10" defaultRowHeight="14.4" x14ac:dyDescent="0.3"/>
  <cols>
    <col min="3" max="4" width="14.33203125" bestFit="1" customWidth="1"/>
    <col min="5" max="5" width="12.109375" bestFit="1" customWidth="1"/>
    <col min="6" max="6" width="13.88671875" bestFit="1" customWidth="1"/>
    <col min="9" max="9" width="13.88671875" bestFit="1" customWidth="1"/>
    <col min="10" max="10" width="11.88671875" bestFit="1" customWidth="1"/>
    <col min="12" max="12" width="12.88671875" bestFit="1" customWidth="1"/>
  </cols>
  <sheetData>
    <row r="2" spans="2:12" x14ac:dyDescent="0.3">
      <c r="B2" t="s">
        <v>0</v>
      </c>
      <c r="C2" s="4">
        <v>200000000</v>
      </c>
      <c r="G2" s="8" t="s">
        <v>8</v>
      </c>
      <c r="H2" t="s">
        <v>9</v>
      </c>
      <c r="I2" s="6">
        <f>D8</f>
        <v>0</v>
      </c>
    </row>
    <row r="3" spans="2:12" x14ac:dyDescent="0.3">
      <c r="B3" t="s">
        <v>1</v>
      </c>
      <c r="C3" s="1">
        <v>25</v>
      </c>
      <c r="G3" s="8" t="s">
        <v>10</v>
      </c>
      <c r="H3" t="s">
        <v>11</v>
      </c>
      <c r="I3" s="10" t="s">
        <v>4</v>
      </c>
      <c r="J3" s="10" t="s">
        <v>5</v>
      </c>
      <c r="K3" s="10" t="s">
        <v>6</v>
      </c>
      <c r="L3" s="10" t="s">
        <v>7</v>
      </c>
    </row>
    <row r="4" spans="2:12" x14ac:dyDescent="0.3">
      <c r="B4" t="s">
        <v>2</v>
      </c>
      <c r="C4" s="2">
        <v>6.5000000000000002E-2</v>
      </c>
      <c r="D4" s="3">
        <f>NOMINAL(C4,12)/12</f>
        <v>5.2616942768477504E-3</v>
      </c>
      <c r="I4" s="14">
        <f>C238</f>
        <v>412859.2176996771</v>
      </c>
      <c r="J4" s="14">
        <f t="shared" ref="J4:L4" si="0">D238</f>
        <v>1327266.1225449489</v>
      </c>
      <c r="K4" s="14">
        <f t="shared" si="0"/>
        <v>914406.90484527184</v>
      </c>
      <c r="L4" s="14">
        <f t="shared" si="0"/>
        <v>77550664.60573642</v>
      </c>
    </row>
    <row r="5" spans="2:12" x14ac:dyDescent="0.3">
      <c r="B5" t="s">
        <v>22</v>
      </c>
      <c r="C5" s="16">
        <f>PMT(D4,C3*12,-C2)</f>
        <v>1327266.1225449489</v>
      </c>
      <c r="G5" s="8" t="s">
        <v>12</v>
      </c>
      <c r="H5" t="s">
        <v>13</v>
      </c>
      <c r="I5" s="10" t="s">
        <v>4</v>
      </c>
      <c r="J5" s="10" t="s">
        <v>5</v>
      </c>
      <c r="K5" s="10" t="s">
        <v>6</v>
      </c>
      <c r="L5" s="10" t="s">
        <v>7</v>
      </c>
    </row>
    <row r="6" spans="2:12" x14ac:dyDescent="0.3">
      <c r="I6" s="14">
        <f>C237</f>
        <v>417645.36403881077</v>
      </c>
      <c r="J6" s="14">
        <f t="shared" ref="J6:L6" si="1">D237</f>
        <v>1327266.1225449489</v>
      </c>
      <c r="K6" s="14">
        <f t="shared" si="1"/>
        <v>909620.75850613811</v>
      </c>
      <c r="L6" s="14">
        <f t="shared" si="1"/>
        <v>78465071.510581687</v>
      </c>
    </row>
    <row r="7" spans="2:12" x14ac:dyDescent="0.3">
      <c r="B7" s="10" t="s">
        <v>3</v>
      </c>
      <c r="C7" s="10" t="s">
        <v>4</v>
      </c>
      <c r="D7" s="10" t="s">
        <v>5</v>
      </c>
      <c r="E7" s="10" t="s">
        <v>6</v>
      </c>
      <c r="F7" s="10" t="s">
        <v>7</v>
      </c>
      <c r="G7" s="8" t="s">
        <v>14</v>
      </c>
      <c r="H7" t="s">
        <v>15</v>
      </c>
      <c r="I7" s="10" t="s">
        <v>7</v>
      </c>
    </row>
    <row r="8" spans="2:12" x14ac:dyDescent="0.3">
      <c r="B8" cm="1">
        <f t="array" ref="B8:B308">_xlfn.SEQUENCE(C3*12+1,,0)</f>
        <v>0</v>
      </c>
      <c r="F8" s="4">
        <f>C2</f>
        <v>200000000</v>
      </c>
      <c r="I8" s="6">
        <f>F148</f>
        <v>143314827.0083805</v>
      </c>
    </row>
    <row r="9" spans="2:12" x14ac:dyDescent="0.3">
      <c r="B9">
        <v>1</v>
      </c>
      <c r="C9" s="5">
        <f>F8*$D$4</f>
        <v>1052338.8553695502</v>
      </c>
      <c r="D9" s="16">
        <f>$C$5</f>
        <v>1327266.1225449489</v>
      </c>
      <c r="E9" s="6">
        <f>D9-C9</f>
        <v>274927.26717539877</v>
      </c>
      <c r="F9" s="6">
        <f>F8-E9</f>
        <v>199725072.73282459</v>
      </c>
      <c r="G9" s="8" t="s">
        <v>16</v>
      </c>
      <c r="H9" t="s">
        <v>17</v>
      </c>
      <c r="I9" s="25" t="s">
        <v>19</v>
      </c>
      <c r="J9" s="25"/>
      <c r="K9" s="25"/>
      <c r="L9" s="25"/>
    </row>
    <row r="10" spans="2:12" x14ac:dyDescent="0.3">
      <c r="B10">
        <v>2</v>
      </c>
      <c r="C10" s="5">
        <f t="shared" ref="C10:C73" si="2">F9*$D$4</f>
        <v>1050892.2721413039</v>
      </c>
      <c r="D10" s="16">
        <f t="shared" ref="D10:D73" si="3">$C$5</f>
        <v>1327266.1225449489</v>
      </c>
      <c r="E10" s="6">
        <f>D10-C10</f>
        <v>276373.85040364508</v>
      </c>
      <c r="F10" s="6">
        <f t="shared" ref="F10:F73" si="4">F9-E10</f>
        <v>199448698.88242096</v>
      </c>
      <c r="G10" s="8" t="s">
        <v>18</v>
      </c>
      <c r="H10" t="s">
        <v>20</v>
      </c>
      <c r="I10" s="13">
        <f>B8</f>
        <v>0</v>
      </c>
      <c r="J10" s="25" t="s">
        <v>21</v>
      </c>
      <c r="K10" s="25"/>
    </row>
    <row r="11" spans="2:12" x14ac:dyDescent="0.3">
      <c r="B11">
        <v>3</v>
      </c>
      <c r="C11" s="5">
        <f t="shared" si="2"/>
        <v>1049438.0774343647</v>
      </c>
      <c r="D11" s="16">
        <f t="shared" si="3"/>
        <v>1327266.1225449489</v>
      </c>
      <c r="E11" s="6">
        <f t="shared" ref="E11:E74" si="5">D11-C11</f>
        <v>277828.04511058424</v>
      </c>
      <c r="F11" s="6">
        <f t="shared" si="4"/>
        <v>199170870.83731037</v>
      </c>
    </row>
    <row r="12" spans="2:12" x14ac:dyDescent="0.3">
      <c r="B12">
        <v>4</v>
      </c>
      <c r="C12" s="5">
        <f t="shared" si="2"/>
        <v>1047976.2311994585</v>
      </c>
      <c r="D12" s="16">
        <f t="shared" si="3"/>
        <v>1327266.1225449489</v>
      </c>
      <c r="E12" s="6">
        <f t="shared" si="5"/>
        <v>279289.89134549047</v>
      </c>
      <c r="F12" s="6">
        <f t="shared" si="4"/>
        <v>198891580.94596487</v>
      </c>
    </row>
    <row r="13" spans="2:12" x14ac:dyDescent="0.3">
      <c r="B13">
        <v>5</v>
      </c>
      <c r="C13" s="5">
        <f t="shared" si="2"/>
        <v>1046506.6931765844</v>
      </c>
      <c r="D13" s="16">
        <f t="shared" si="3"/>
        <v>1327266.1225449489</v>
      </c>
      <c r="E13" s="6">
        <f t="shared" si="5"/>
        <v>280759.42936836451</v>
      </c>
      <c r="F13" s="6">
        <f t="shared" si="4"/>
        <v>198610821.5165965</v>
      </c>
    </row>
    <row r="14" spans="2:12" x14ac:dyDescent="0.3">
      <c r="B14">
        <v>6</v>
      </c>
      <c r="C14" s="5">
        <f t="shared" si="2"/>
        <v>1045029.4228939058</v>
      </c>
      <c r="D14" s="16">
        <f t="shared" si="3"/>
        <v>1327266.1225449489</v>
      </c>
      <c r="E14" s="6">
        <f t="shared" si="5"/>
        <v>282236.69965104316</v>
      </c>
      <c r="F14" s="6">
        <f t="shared" si="4"/>
        <v>198328584.81694546</v>
      </c>
    </row>
    <row r="15" spans="2:12" x14ac:dyDescent="0.3">
      <c r="B15">
        <v>7</v>
      </c>
      <c r="C15" s="5">
        <f t="shared" si="2"/>
        <v>1043544.3796666355</v>
      </c>
      <c r="D15" s="16">
        <f t="shared" si="3"/>
        <v>1327266.1225449489</v>
      </c>
      <c r="E15" s="6">
        <f t="shared" si="5"/>
        <v>283721.74287831341</v>
      </c>
      <c r="F15" s="6">
        <f t="shared" si="4"/>
        <v>198044863.07406715</v>
      </c>
    </row>
    <row r="16" spans="2:12" x14ac:dyDescent="0.3">
      <c r="B16">
        <v>8</v>
      </c>
      <c r="C16" s="5">
        <f t="shared" si="2"/>
        <v>1042051.5225959155</v>
      </c>
      <c r="D16" s="16">
        <f t="shared" si="3"/>
        <v>1327266.1225449489</v>
      </c>
      <c r="E16" s="6">
        <f t="shared" si="5"/>
        <v>285214.59994903347</v>
      </c>
      <c r="F16" s="6">
        <f t="shared" si="4"/>
        <v>197759648.47411811</v>
      </c>
    </row>
    <row r="17" spans="2:6" x14ac:dyDescent="0.3">
      <c r="B17">
        <v>9</v>
      </c>
      <c r="C17" s="5">
        <f t="shared" si="2"/>
        <v>1040550.8105676902</v>
      </c>
      <c r="D17" s="16">
        <f t="shared" si="3"/>
        <v>1327266.1225449489</v>
      </c>
      <c r="E17" s="6">
        <f t="shared" si="5"/>
        <v>286715.31197725877</v>
      </c>
      <c r="F17" s="6">
        <f t="shared" si="4"/>
        <v>197472933.16214085</v>
      </c>
    </row>
    <row r="18" spans="2:6" x14ac:dyDescent="0.3">
      <c r="B18">
        <v>10</v>
      </c>
      <c r="C18" s="5">
        <f t="shared" si="2"/>
        <v>1039042.2022515748</v>
      </c>
      <c r="D18" s="16">
        <f t="shared" si="3"/>
        <v>1327266.1225449489</v>
      </c>
      <c r="E18" s="6">
        <f t="shared" si="5"/>
        <v>288223.9202933741</v>
      </c>
      <c r="F18" s="6">
        <f t="shared" si="4"/>
        <v>197184709.24184749</v>
      </c>
    </row>
    <row r="19" spans="2:6" x14ac:dyDescent="0.3">
      <c r="B19">
        <v>11</v>
      </c>
      <c r="C19" s="5">
        <f t="shared" si="2"/>
        <v>1037525.6560997167</v>
      </c>
      <c r="D19" s="16">
        <f t="shared" si="3"/>
        <v>1327266.1225449489</v>
      </c>
      <c r="E19" s="6">
        <f t="shared" si="5"/>
        <v>289740.46644523228</v>
      </c>
      <c r="F19" s="6">
        <f t="shared" si="4"/>
        <v>196894968.77540225</v>
      </c>
    </row>
    <row r="20" spans="2:6" x14ac:dyDescent="0.3">
      <c r="B20">
        <v>12</v>
      </c>
      <c r="C20" s="5">
        <f t="shared" si="2"/>
        <v>1036001.1303456505</v>
      </c>
      <c r="D20" s="16">
        <f t="shared" si="3"/>
        <v>1327266.1225449489</v>
      </c>
      <c r="E20" s="6">
        <f t="shared" si="5"/>
        <v>291264.99219929846</v>
      </c>
      <c r="F20" s="6">
        <f t="shared" si="4"/>
        <v>196603703.78320295</v>
      </c>
    </row>
    <row r="21" spans="2:6" x14ac:dyDescent="0.3">
      <c r="B21">
        <v>13</v>
      </c>
      <c r="C21" s="5">
        <f t="shared" si="2"/>
        <v>1034468.5830031494</v>
      </c>
      <c r="D21" s="16">
        <f t="shared" si="3"/>
        <v>1327266.1225449489</v>
      </c>
      <c r="E21" s="6">
        <f t="shared" si="5"/>
        <v>292797.53954179958</v>
      </c>
      <c r="F21" s="6">
        <f t="shared" si="4"/>
        <v>196310906.24366114</v>
      </c>
    </row>
    <row r="22" spans="2:6" x14ac:dyDescent="0.3">
      <c r="B22">
        <v>14</v>
      </c>
      <c r="C22" s="5">
        <f t="shared" si="2"/>
        <v>1032927.9718650671</v>
      </c>
      <c r="D22" s="16">
        <f t="shared" si="3"/>
        <v>1327266.1225449489</v>
      </c>
      <c r="E22" s="6">
        <f t="shared" si="5"/>
        <v>294338.1506798818</v>
      </c>
      <c r="F22" s="6">
        <f t="shared" si="4"/>
        <v>196016568.09298125</v>
      </c>
    </row>
    <row r="23" spans="2:6" x14ac:dyDescent="0.3">
      <c r="B23">
        <v>15</v>
      </c>
      <c r="C23" s="5">
        <f t="shared" si="2"/>
        <v>1031379.2545021768</v>
      </c>
      <c r="D23" s="16">
        <f t="shared" si="3"/>
        <v>1327266.1225449489</v>
      </c>
      <c r="E23" s="6">
        <f t="shared" si="5"/>
        <v>295886.86804277217</v>
      </c>
      <c r="F23" s="6">
        <f t="shared" si="4"/>
        <v>195720681.22493848</v>
      </c>
    </row>
    <row r="24" spans="2:6" x14ac:dyDescent="0.3">
      <c r="B24">
        <v>16</v>
      </c>
      <c r="C24" s="5">
        <f t="shared" si="2"/>
        <v>1029822.3882620018</v>
      </c>
      <c r="D24" s="16">
        <f t="shared" si="3"/>
        <v>1327266.1225449489</v>
      </c>
      <c r="E24" s="6">
        <f t="shared" si="5"/>
        <v>297443.73428294715</v>
      </c>
      <c r="F24" s="6">
        <f t="shared" si="4"/>
        <v>195423237.49065554</v>
      </c>
    </row>
    <row r="25" spans="2:6" x14ac:dyDescent="0.3">
      <c r="B25">
        <v>17</v>
      </c>
      <c r="C25" s="5">
        <f t="shared" si="2"/>
        <v>1028257.330267641</v>
      </c>
      <c r="D25" s="16">
        <f t="shared" si="3"/>
        <v>1327266.1225449489</v>
      </c>
      <c r="E25" s="6">
        <f t="shared" si="5"/>
        <v>299008.79227730795</v>
      </c>
      <c r="F25" s="6">
        <f t="shared" si="4"/>
        <v>195124228.69837824</v>
      </c>
    </row>
    <row r="26" spans="2:6" x14ac:dyDescent="0.3">
      <c r="B26">
        <v>18</v>
      </c>
      <c r="C26" s="5">
        <f t="shared" si="2"/>
        <v>1026684.0374165883</v>
      </c>
      <c r="D26" s="16">
        <f t="shared" si="3"/>
        <v>1327266.1225449489</v>
      </c>
      <c r="E26" s="6">
        <f t="shared" si="5"/>
        <v>300582.08512836066</v>
      </c>
      <c r="F26" s="6">
        <f t="shared" si="4"/>
        <v>194823646.61324987</v>
      </c>
    </row>
    <row r="27" spans="2:6" x14ac:dyDescent="0.3">
      <c r="B27">
        <v>19</v>
      </c>
      <c r="C27" s="5">
        <f t="shared" si="2"/>
        <v>1025102.4663795454</v>
      </c>
      <c r="D27" s="16">
        <f t="shared" si="3"/>
        <v>1327266.1225449489</v>
      </c>
      <c r="E27" s="6">
        <f t="shared" si="5"/>
        <v>302163.65616540355</v>
      </c>
      <c r="F27" s="6">
        <f t="shared" si="4"/>
        <v>194521482.95708448</v>
      </c>
    </row>
    <row r="28" spans="2:6" x14ac:dyDescent="0.3">
      <c r="B28">
        <v>20</v>
      </c>
      <c r="C28" s="5">
        <f t="shared" si="2"/>
        <v>1023512.5735992286</v>
      </c>
      <c r="D28" s="16">
        <f t="shared" si="3"/>
        <v>1327266.1225449489</v>
      </c>
      <c r="E28" s="6">
        <f t="shared" si="5"/>
        <v>303753.54894572031</v>
      </c>
      <c r="F28" s="6">
        <f t="shared" si="4"/>
        <v>194217729.40813875</v>
      </c>
    </row>
    <row r="29" spans="2:6" x14ac:dyDescent="0.3">
      <c r="B29">
        <v>21</v>
      </c>
      <c r="C29" s="5">
        <f t="shared" si="2"/>
        <v>1021914.3152891687</v>
      </c>
      <c r="D29" s="16">
        <f t="shared" si="3"/>
        <v>1327266.1225449489</v>
      </c>
      <c r="E29" s="6">
        <f t="shared" si="5"/>
        <v>305351.80725578021</v>
      </c>
      <c r="F29" s="6">
        <f t="shared" si="4"/>
        <v>193912377.60088298</v>
      </c>
    </row>
    <row r="30" spans="2:6" x14ac:dyDescent="0.3">
      <c r="B30">
        <v>22</v>
      </c>
      <c r="C30" s="5">
        <f t="shared" si="2"/>
        <v>1020307.6474325059</v>
      </c>
      <c r="D30" s="16">
        <f t="shared" si="3"/>
        <v>1327266.1225449489</v>
      </c>
      <c r="E30" s="6">
        <f t="shared" si="5"/>
        <v>306958.47511244309</v>
      </c>
      <c r="F30" s="6">
        <f t="shared" si="4"/>
        <v>193605419.12577054</v>
      </c>
    </row>
    <row r="31" spans="2:6" x14ac:dyDescent="0.3">
      <c r="B31">
        <v>23</v>
      </c>
      <c r="C31" s="5">
        <f t="shared" si="2"/>
        <v>1018692.5257807769</v>
      </c>
      <c r="D31" s="16">
        <f t="shared" si="3"/>
        <v>1327266.1225449489</v>
      </c>
      <c r="E31" s="6">
        <f t="shared" si="5"/>
        <v>308573.59676417208</v>
      </c>
      <c r="F31" s="6">
        <f t="shared" si="4"/>
        <v>193296845.52900636</v>
      </c>
    </row>
    <row r="32" spans="2:6" x14ac:dyDescent="0.3">
      <c r="B32">
        <v>24</v>
      </c>
      <c r="C32" s="5">
        <f t="shared" si="2"/>
        <v>1017068.9058526964</v>
      </c>
      <c r="D32" s="16">
        <f t="shared" si="3"/>
        <v>1327266.1225449489</v>
      </c>
      <c r="E32" s="6">
        <f t="shared" si="5"/>
        <v>310197.21669225255</v>
      </c>
      <c r="F32" s="6">
        <f t="shared" si="4"/>
        <v>192986648.31231412</v>
      </c>
    </row>
    <row r="33" spans="2:6" x14ac:dyDescent="0.3">
      <c r="B33">
        <v>25</v>
      </c>
      <c r="C33" s="5">
        <f t="shared" si="2"/>
        <v>1015436.7429329328</v>
      </c>
      <c r="D33" s="16">
        <f t="shared" si="3"/>
        <v>1327266.1225449489</v>
      </c>
      <c r="E33" s="6">
        <f t="shared" si="5"/>
        <v>311829.37961201614</v>
      </c>
      <c r="F33" s="6">
        <f t="shared" si="4"/>
        <v>192674818.93270209</v>
      </c>
    </row>
    <row r="34" spans="2:6" x14ac:dyDescent="0.3">
      <c r="B34">
        <v>26</v>
      </c>
      <c r="C34" s="5">
        <f t="shared" si="2"/>
        <v>1013795.9920708751</v>
      </c>
      <c r="D34" s="16">
        <f t="shared" si="3"/>
        <v>1327266.1225449489</v>
      </c>
      <c r="E34" s="6">
        <f t="shared" si="5"/>
        <v>313470.13047407381</v>
      </c>
      <c r="F34" s="6">
        <f t="shared" si="4"/>
        <v>192361348.80222803</v>
      </c>
    </row>
    <row r="35" spans="2:6" x14ac:dyDescent="0.3">
      <c r="B35">
        <v>27</v>
      </c>
      <c r="C35" s="5">
        <f t="shared" si="2"/>
        <v>1012146.6080793971</v>
      </c>
      <c r="D35" s="16">
        <f t="shared" si="3"/>
        <v>1327266.1225449489</v>
      </c>
      <c r="E35" s="6">
        <f t="shared" si="5"/>
        <v>315119.51446555182</v>
      </c>
      <c r="F35" s="6">
        <f t="shared" si="4"/>
        <v>192046229.28776249</v>
      </c>
    </row>
    <row r="36" spans="2:6" x14ac:dyDescent="0.3">
      <c r="B36">
        <v>28</v>
      </c>
      <c r="C36" s="5">
        <f t="shared" si="2"/>
        <v>1010488.5455336107</v>
      </c>
      <c r="D36" s="16">
        <f t="shared" si="3"/>
        <v>1327266.1225449489</v>
      </c>
      <c r="E36" s="6">
        <f t="shared" si="5"/>
        <v>316777.5770113382</v>
      </c>
      <c r="F36" s="6">
        <f t="shared" si="4"/>
        <v>191729451.71075115</v>
      </c>
    </row>
    <row r="37" spans="2:6" x14ac:dyDescent="0.3">
      <c r="B37">
        <v>29</v>
      </c>
      <c r="C37" s="5">
        <f t="shared" si="2"/>
        <v>1008821.7587696165</v>
      </c>
      <c r="D37" s="16">
        <f t="shared" si="3"/>
        <v>1327266.1225449489</v>
      </c>
      <c r="E37" s="6">
        <f t="shared" si="5"/>
        <v>318444.36377533246</v>
      </c>
      <c r="F37" s="6">
        <f t="shared" si="4"/>
        <v>191411007.3469758</v>
      </c>
    </row>
    <row r="38" spans="2:6" x14ac:dyDescent="0.3">
      <c r="B38">
        <v>30</v>
      </c>
      <c r="C38" s="5">
        <f t="shared" si="2"/>
        <v>1007146.2018832453</v>
      </c>
      <c r="D38" s="16">
        <f t="shared" si="3"/>
        <v>1327266.1225449489</v>
      </c>
      <c r="E38" s="6">
        <f t="shared" si="5"/>
        <v>320119.92066170368</v>
      </c>
      <c r="F38" s="6">
        <f t="shared" si="4"/>
        <v>191090887.42631409</v>
      </c>
    </row>
    <row r="39" spans="2:6" x14ac:dyDescent="0.3">
      <c r="B39">
        <v>31</v>
      </c>
      <c r="C39" s="5">
        <f t="shared" si="2"/>
        <v>1005461.8287287946</v>
      </c>
      <c r="D39" s="16">
        <f t="shared" si="3"/>
        <v>1327266.1225449489</v>
      </c>
      <c r="E39" s="6">
        <f t="shared" si="5"/>
        <v>321804.29381615436</v>
      </c>
      <c r="F39" s="6">
        <f t="shared" si="4"/>
        <v>190769083.13249794</v>
      </c>
    </row>
    <row r="40" spans="2:6" x14ac:dyDescent="0.3">
      <c r="B40">
        <v>32</v>
      </c>
      <c r="C40" s="5">
        <f t="shared" si="2"/>
        <v>1003768.5929177571</v>
      </c>
      <c r="D40" s="16">
        <f t="shared" si="3"/>
        <v>1327266.1225449489</v>
      </c>
      <c r="E40" s="6">
        <f t="shared" si="5"/>
        <v>323497.52962719183</v>
      </c>
      <c r="F40" s="6">
        <f t="shared" si="4"/>
        <v>190445585.60287073</v>
      </c>
    </row>
    <row r="41" spans="2:6" x14ac:dyDescent="0.3">
      <c r="B41">
        <v>33</v>
      </c>
      <c r="C41" s="5">
        <f t="shared" si="2"/>
        <v>1002066.4478175433</v>
      </c>
      <c r="D41" s="16">
        <f t="shared" si="3"/>
        <v>1327266.1225449489</v>
      </c>
      <c r="E41" s="6">
        <f t="shared" si="5"/>
        <v>325199.67472740565</v>
      </c>
      <c r="F41" s="6">
        <f t="shared" si="4"/>
        <v>190120385.92814332</v>
      </c>
    </row>
    <row r="42" spans="2:6" x14ac:dyDescent="0.3">
      <c r="B42">
        <v>34</v>
      </c>
      <c r="C42" s="5">
        <f t="shared" si="2"/>
        <v>1000355.3465501973</v>
      </c>
      <c r="D42" s="16">
        <f t="shared" si="3"/>
        <v>1327266.1225449489</v>
      </c>
      <c r="E42" s="6">
        <f t="shared" si="5"/>
        <v>326910.7759947516</v>
      </c>
      <c r="F42" s="6">
        <f t="shared" si="4"/>
        <v>189793475.15214857</v>
      </c>
    </row>
    <row r="43" spans="2:6" x14ac:dyDescent="0.3">
      <c r="B43">
        <v>35</v>
      </c>
      <c r="C43" s="5">
        <f t="shared" si="2"/>
        <v>998635.24199110584</v>
      </c>
      <c r="D43" s="16">
        <f t="shared" si="3"/>
        <v>1327266.1225449489</v>
      </c>
      <c r="E43" s="6">
        <f t="shared" si="5"/>
        <v>328630.8805538431</v>
      </c>
      <c r="F43" s="6">
        <f t="shared" si="4"/>
        <v>189464844.27159473</v>
      </c>
    </row>
    <row r="44" spans="2:6" x14ac:dyDescent="0.3">
      <c r="B44">
        <v>36</v>
      </c>
      <c r="C44" s="5">
        <f t="shared" si="2"/>
        <v>996906.08676770027</v>
      </c>
      <c r="D44" s="16">
        <f t="shared" si="3"/>
        <v>1327266.1225449489</v>
      </c>
      <c r="E44" s="6">
        <f t="shared" si="5"/>
        <v>330360.03577724868</v>
      </c>
      <c r="F44" s="6">
        <f t="shared" si="4"/>
        <v>189134484.23581749</v>
      </c>
    </row>
    <row r="45" spans="2:6" x14ac:dyDescent="0.3">
      <c r="B45">
        <v>37</v>
      </c>
      <c r="C45" s="5">
        <f t="shared" si="2"/>
        <v>995167.83325815201</v>
      </c>
      <c r="D45" s="16">
        <f t="shared" si="3"/>
        <v>1327266.1225449489</v>
      </c>
      <c r="E45" s="6">
        <f t="shared" si="5"/>
        <v>332098.28928679693</v>
      </c>
      <c r="F45" s="6">
        <f t="shared" si="4"/>
        <v>188802385.9465307</v>
      </c>
    </row>
    <row r="46" spans="2:6" x14ac:dyDescent="0.3">
      <c r="B46">
        <v>38</v>
      </c>
      <c r="C46" s="5">
        <f t="shared" si="2"/>
        <v>993420.43359006068</v>
      </c>
      <c r="D46" s="16">
        <f t="shared" si="3"/>
        <v>1327266.1225449489</v>
      </c>
      <c r="E46" s="6">
        <f t="shared" si="5"/>
        <v>333845.68895488826</v>
      </c>
      <c r="F46" s="6">
        <f t="shared" si="4"/>
        <v>188468540.25757581</v>
      </c>
    </row>
    <row r="47" spans="2:6" x14ac:dyDescent="0.3">
      <c r="B47">
        <v>39</v>
      </c>
      <c r="C47" s="5">
        <f t="shared" si="2"/>
        <v>991663.83963913645</v>
      </c>
      <c r="D47" s="16">
        <f t="shared" si="3"/>
        <v>1327266.1225449489</v>
      </c>
      <c r="E47" s="6">
        <f t="shared" si="5"/>
        <v>335602.28290581249</v>
      </c>
      <c r="F47" s="6">
        <f t="shared" si="4"/>
        <v>188132937.97466999</v>
      </c>
    </row>
    <row r="48" spans="2:6" x14ac:dyDescent="0.3">
      <c r="B48">
        <v>40</v>
      </c>
      <c r="C48" s="5">
        <f t="shared" si="2"/>
        <v>989898.00302787393</v>
      </c>
      <c r="D48" s="16">
        <f t="shared" si="3"/>
        <v>1327266.1225449489</v>
      </c>
      <c r="E48" s="6">
        <f t="shared" si="5"/>
        <v>337368.11951707501</v>
      </c>
      <c r="F48" s="6">
        <f t="shared" si="4"/>
        <v>187795569.8551529</v>
      </c>
    </row>
    <row r="49" spans="2:6" x14ac:dyDescent="0.3">
      <c r="B49">
        <v>41</v>
      </c>
      <c r="C49" s="5">
        <f t="shared" si="2"/>
        <v>988122.87512421992</v>
      </c>
      <c r="D49" s="16">
        <f t="shared" si="3"/>
        <v>1327266.1225449489</v>
      </c>
      <c r="E49" s="6">
        <f t="shared" si="5"/>
        <v>339143.24742072902</v>
      </c>
      <c r="F49" s="6">
        <f t="shared" si="4"/>
        <v>187456426.60773218</v>
      </c>
    </row>
    <row r="50" spans="2:6" x14ac:dyDescent="0.3">
      <c r="B50">
        <v>42</v>
      </c>
      <c r="C50" s="5">
        <f t="shared" si="2"/>
        <v>986338.40704023477</v>
      </c>
      <c r="D50" s="16">
        <f t="shared" si="3"/>
        <v>1327266.1225449489</v>
      </c>
      <c r="E50" s="6">
        <f t="shared" si="5"/>
        <v>340927.71550471417</v>
      </c>
      <c r="F50" s="6">
        <f t="shared" si="4"/>
        <v>187115498.89222747</v>
      </c>
    </row>
    <row r="51" spans="2:6" x14ac:dyDescent="0.3">
      <c r="B51">
        <v>43</v>
      </c>
      <c r="C51" s="5">
        <f t="shared" si="2"/>
        <v>984544.54963074485</v>
      </c>
      <c r="D51" s="16">
        <f t="shared" si="3"/>
        <v>1327266.1225449489</v>
      </c>
      <c r="E51" s="6">
        <f t="shared" si="5"/>
        <v>342721.57291420409</v>
      </c>
      <c r="F51" s="6">
        <f t="shared" si="4"/>
        <v>186772777.31931326</v>
      </c>
    </row>
    <row r="52" spans="2:6" x14ac:dyDescent="0.3">
      <c r="B52">
        <v>44</v>
      </c>
      <c r="C52" s="5">
        <f t="shared" si="2"/>
        <v>982741.25349198992</v>
      </c>
      <c r="D52" s="16">
        <f t="shared" si="3"/>
        <v>1327266.1225449489</v>
      </c>
      <c r="E52" s="6">
        <f t="shared" si="5"/>
        <v>344524.86905295902</v>
      </c>
      <c r="F52" s="6">
        <f t="shared" si="4"/>
        <v>186428252.45026031</v>
      </c>
    </row>
    <row r="53" spans="2:6" x14ac:dyDescent="0.3">
      <c r="B53">
        <v>45</v>
      </c>
      <c r="C53" s="5">
        <f t="shared" si="2"/>
        <v>980928.46896026225</v>
      </c>
      <c r="D53" s="16">
        <f t="shared" si="3"/>
        <v>1327266.1225449489</v>
      </c>
      <c r="E53" s="6">
        <f t="shared" si="5"/>
        <v>346337.65358468669</v>
      </c>
      <c r="F53" s="6">
        <f t="shared" si="4"/>
        <v>186081914.79667562</v>
      </c>
    </row>
    <row r="54" spans="2:6" x14ac:dyDescent="0.3">
      <c r="B54">
        <v>46</v>
      </c>
      <c r="C54" s="5">
        <f t="shared" si="2"/>
        <v>979106.14611053886</v>
      </c>
      <c r="D54" s="16">
        <f t="shared" si="3"/>
        <v>1327266.1225449489</v>
      </c>
      <c r="E54" s="6">
        <f t="shared" si="5"/>
        <v>348159.97643441008</v>
      </c>
      <c r="F54" s="6">
        <f t="shared" si="4"/>
        <v>185733754.82024121</v>
      </c>
    </row>
    <row r="55" spans="2:6" x14ac:dyDescent="0.3">
      <c r="B55">
        <v>47</v>
      </c>
      <c r="C55" s="5">
        <f t="shared" si="2"/>
        <v>977274.2347551065</v>
      </c>
      <c r="D55" s="16">
        <f t="shared" si="3"/>
        <v>1327266.1225449489</v>
      </c>
      <c r="E55" s="6">
        <f t="shared" si="5"/>
        <v>349991.88778984244</v>
      </c>
      <c r="F55" s="6">
        <f t="shared" si="4"/>
        <v>185383762.93245137</v>
      </c>
    </row>
    <row r="56" spans="2:6" x14ac:dyDescent="0.3">
      <c r="B56">
        <v>48</v>
      </c>
      <c r="C56" s="5">
        <f t="shared" si="2"/>
        <v>975432.68444217951</v>
      </c>
      <c r="D56" s="16">
        <f t="shared" si="3"/>
        <v>1327266.1225449489</v>
      </c>
      <c r="E56" s="6">
        <f t="shared" si="5"/>
        <v>351833.43810276943</v>
      </c>
      <c r="F56" s="6">
        <f t="shared" si="4"/>
        <v>185031929.49434859</v>
      </c>
    </row>
    <row r="57" spans="2:6" x14ac:dyDescent="0.3">
      <c r="B57">
        <v>49</v>
      </c>
      <c r="C57" s="5">
        <f t="shared" si="2"/>
        <v>973581.44445451046</v>
      </c>
      <c r="D57" s="16">
        <f t="shared" si="3"/>
        <v>1327266.1225449489</v>
      </c>
      <c r="E57" s="6">
        <f t="shared" si="5"/>
        <v>353684.67809043848</v>
      </c>
      <c r="F57" s="6">
        <f t="shared" si="4"/>
        <v>184678244.81625813</v>
      </c>
    </row>
    <row r="58" spans="2:6" x14ac:dyDescent="0.3">
      <c r="B58">
        <v>50</v>
      </c>
      <c r="C58" s="5">
        <f t="shared" si="2"/>
        <v>971720.4638079931</v>
      </c>
      <c r="D58" s="16">
        <f t="shared" si="3"/>
        <v>1327266.1225449489</v>
      </c>
      <c r="E58" s="6">
        <f t="shared" si="5"/>
        <v>355545.65873695584</v>
      </c>
      <c r="F58" s="6">
        <f t="shared" si="4"/>
        <v>184322699.15752119</v>
      </c>
    </row>
    <row r="59" spans="2:6" x14ac:dyDescent="0.3">
      <c r="B59">
        <v>51</v>
      </c>
      <c r="C59" s="5">
        <f t="shared" si="2"/>
        <v>969849.69125025894</v>
      </c>
      <c r="D59" s="16">
        <f t="shared" si="3"/>
        <v>1327266.1225449489</v>
      </c>
      <c r="E59" s="6">
        <f t="shared" si="5"/>
        <v>357416.43129469</v>
      </c>
      <c r="F59" s="6">
        <f t="shared" si="4"/>
        <v>183965282.72622651</v>
      </c>
    </row>
    <row r="60" spans="2:6" x14ac:dyDescent="0.3">
      <c r="B60">
        <v>52</v>
      </c>
      <c r="C60" s="5">
        <f t="shared" si="2"/>
        <v>967969.07525926433</v>
      </c>
      <c r="D60" s="16">
        <f t="shared" si="3"/>
        <v>1327266.1225449489</v>
      </c>
      <c r="E60" s="6">
        <f t="shared" si="5"/>
        <v>359297.04728568462</v>
      </c>
      <c r="F60" s="6">
        <f t="shared" si="4"/>
        <v>183605985.67894083</v>
      </c>
    </row>
    <row r="61" spans="2:6" x14ac:dyDescent="0.3">
      <c r="B61">
        <v>53</v>
      </c>
      <c r="C61" s="5">
        <f t="shared" si="2"/>
        <v>966078.56404187297</v>
      </c>
      <c r="D61" s="16">
        <f t="shared" si="3"/>
        <v>1327266.1225449489</v>
      </c>
      <c r="E61" s="6">
        <f t="shared" si="5"/>
        <v>361187.55850307597</v>
      </c>
      <c r="F61" s="6">
        <f t="shared" si="4"/>
        <v>183244798.12043777</v>
      </c>
    </row>
    <row r="62" spans="2:6" x14ac:dyDescent="0.3">
      <c r="B62">
        <v>54</v>
      </c>
      <c r="C62" s="5">
        <f t="shared" si="2"/>
        <v>964178.10553242883</v>
      </c>
      <c r="D62" s="16">
        <f t="shared" si="3"/>
        <v>1327266.1225449489</v>
      </c>
      <c r="E62" s="6">
        <f t="shared" si="5"/>
        <v>363088.01701252011</v>
      </c>
      <c r="F62" s="6">
        <f t="shared" si="4"/>
        <v>182881710.10342526</v>
      </c>
    </row>
    <row r="63" spans="2:6" x14ac:dyDescent="0.3">
      <c r="B63">
        <v>55</v>
      </c>
      <c r="C63" s="5">
        <f t="shared" si="2"/>
        <v>962267.64739132207</v>
      </c>
      <c r="D63" s="16">
        <f t="shared" si="3"/>
        <v>1327266.1225449489</v>
      </c>
      <c r="E63" s="6">
        <f t="shared" si="5"/>
        <v>364998.47515362687</v>
      </c>
      <c r="F63" s="6">
        <f t="shared" si="4"/>
        <v>182516711.62827164</v>
      </c>
    </row>
    <row r="64" spans="2:6" x14ac:dyDescent="0.3">
      <c r="B64">
        <v>56</v>
      </c>
      <c r="C64" s="5">
        <f t="shared" si="2"/>
        <v>960347.13700354809</v>
      </c>
      <c r="D64" s="16">
        <f t="shared" si="3"/>
        <v>1327266.1225449489</v>
      </c>
      <c r="E64" s="6">
        <f t="shared" si="5"/>
        <v>366918.98554140085</v>
      </c>
      <c r="F64" s="6">
        <f t="shared" si="4"/>
        <v>182149792.64273024</v>
      </c>
    </row>
    <row r="65" spans="2:6" x14ac:dyDescent="0.3">
      <c r="B65">
        <v>57</v>
      </c>
      <c r="C65" s="5">
        <f t="shared" si="2"/>
        <v>958416.52147725818</v>
      </c>
      <c r="D65" s="16">
        <f t="shared" si="3"/>
        <v>1327266.1225449489</v>
      </c>
      <c r="E65" s="6">
        <f t="shared" si="5"/>
        <v>368849.60106769076</v>
      </c>
      <c r="F65" s="6">
        <f t="shared" si="4"/>
        <v>181780943.04166254</v>
      </c>
    </row>
    <row r="66" spans="2:6" x14ac:dyDescent="0.3">
      <c r="B66">
        <v>58</v>
      </c>
      <c r="C66" s="5">
        <f t="shared" si="2"/>
        <v>956475.74764230265</v>
      </c>
      <c r="D66" s="16">
        <f t="shared" si="3"/>
        <v>1327266.1225449489</v>
      </c>
      <c r="E66" s="6">
        <f t="shared" si="5"/>
        <v>370790.37490264629</v>
      </c>
      <c r="F66" s="6">
        <f t="shared" si="4"/>
        <v>181410152.66675991</v>
      </c>
    </row>
    <row r="67" spans="2:6" x14ac:dyDescent="0.3">
      <c r="B67">
        <v>59</v>
      </c>
      <c r="C67" s="5">
        <f t="shared" si="2"/>
        <v>954524.7620487673</v>
      </c>
      <c r="D67" s="16">
        <f t="shared" si="3"/>
        <v>1327266.1225449489</v>
      </c>
      <c r="E67" s="6">
        <f t="shared" si="5"/>
        <v>372741.36049618165</v>
      </c>
      <c r="F67" s="6">
        <f t="shared" si="4"/>
        <v>181037411.30626372</v>
      </c>
    </row>
    <row r="68" spans="2:6" x14ac:dyDescent="0.3">
      <c r="B68">
        <v>60</v>
      </c>
      <c r="C68" s="5">
        <f t="shared" si="2"/>
        <v>952563.51096550003</v>
      </c>
      <c r="D68" s="16">
        <f t="shared" si="3"/>
        <v>1327266.1225449489</v>
      </c>
      <c r="E68" s="6">
        <f t="shared" si="5"/>
        <v>374702.61157944892</v>
      </c>
      <c r="F68" s="6">
        <f t="shared" si="4"/>
        <v>180662708.69468427</v>
      </c>
    </row>
    <row r="69" spans="2:6" x14ac:dyDescent="0.3">
      <c r="B69">
        <v>61</v>
      </c>
      <c r="C69" s="5">
        <f t="shared" si="2"/>
        <v>950591.94037863251</v>
      </c>
      <c r="D69" s="16">
        <f t="shared" si="3"/>
        <v>1327266.1225449489</v>
      </c>
      <c r="E69" s="6">
        <f t="shared" si="5"/>
        <v>376674.18216631643</v>
      </c>
      <c r="F69" s="6">
        <f t="shared" si="4"/>
        <v>180286034.51251796</v>
      </c>
    </row>
    <row r="70" spans="2:6" x14ac:dyDescent="0.3">
      <c r="B70">
        <v>62</v>
      </c>
      <c r="C70" s="5">
        <f t="shared" si="2"/>
        <v>948609.9959900917</v>
      </c>
      <c r="D70" s="16">
        <f t="shared" si="3"/>
        <v>1327266.1225449489</v>
      </c>
      <c r="E70" s="6">
        <f t="shared" si="5"/>
        <v>378656.12655485724</v>
      </c>
      <c r="F70" s="6">
        <f t="shared" si="4"/>
        <v>179907378.38596311</v>
      </c>
    </row>
    <row r="71" spans="2:6" x14ac:dyDescent="0.3">
      <c r="B71">
        <v>63</v>
      </c>
      <c r="C71" s="5">
        <f t="shared" si="2"/>
        <v>946617.62321610481</v>
      </c>
      <c r="D71" s="16">
        <f t="shared" si="3"/>
        <v>1327266.1225449489</v>
      </c>
      <c r="E71" s="6">
        <f t="shared" si="5"/>
        <v>380648.49932884413</v>
      </c>
      <c r="F71" s="6">
        <f t="shared" si="4"/>
        <v>179526729.88663426</v>
      </c>
    </row>
    <row r="72" spans="2:6" x14ac:dyDescent="0.3">
      <c r="B72">
        <v>64</v>
      </c>
      <c r="C72" s="5">
        <f t="shared" si="2"/>
        <v>944614.76718569547</v>
      </c>
      <c r="D72" s="16">
        <f t="shared" si="3"/>
        <v>1327266.1225449489</v>
      </c>
      <c r="E72" s="6">
        <f t="shared" si="5"/>
        <v>382651.35535925347</v>
      </c>
      <c r="F72" s="6">
        <f t="shared" si="4"/>
        <v>179144078.531275</v>
      </c>
    </row>
    <row r="73" spans="2:6" x14ac:dyDescent="0.3">
      <c r="B73">
        <v>65</v>
      </c>
      <c r="C73" s="5">
        <f t="shared" si="2"/>
        <v>942601.37273917359</v>
      </c>
      <c r="D73" s="16">
        <f t="shared" si="3"/>
        <v>1327266.1225449489</v>
      </c>
      <c r="E73" s="6">
        <f t="shared" si="5"/>
        <v>384664.74980577535</v>
      </c>
      <c r="F73" s="6">
        <f t="shared" si="4"/>
        <v>178759413.78146923</v>
      </c>
    </row>
    <row r="74" spans="2:6" x14ac:dyDescent="0.3">
      <c r="B74">
        <v>66</v>
      </c>
      <c r="C74" s="5">
        <f t="shared" ref="C74:C137" si="6">F73*$D$4</f>
        <v>940577.38442661555</v>
      </c>
      <c r="D74" s="16">
        <f t="shared" ref="D74:D137" si="7">$C$5</f>
        <v>1327266.1225449489</v>
      </c>
      <c r="E74" s="6">
        <f t="shared" si="5"/>
        <v>386688.73811833339</v>
      </c>
      <c r="F74" s="6">
        <f t="shared" ref="F74:F137" si="8">F73-E74</f>
        <v>178372725.04335091</v>
      </c>
    </row>
    <row r="75" spans="2:6" x14ac:dyDescent="0.3">
      <c r="B75">
        <v>67</v>
      </c>
      <c r="C75" s="5">
        <f t="shared" si="6"/>
        <v>938542.74650633684</v>
      </c>
      <c r="D75" s="16">
        <f t="shared" si="7"/>
        <v>1327266.1225449489</v>
      </c>
      <c r="E75" s="6">
        <f t="shared" ref="E75:E138" si="9">D75-C75</f>
        <v>388723.3760386121</v>
      </c>
      <c r="F75" s="6">
        <f t="shared" si="8"/>
        <v>177984001.66731229</v>
      </c>
    </row>
    <row r="76" spans="2:6" x14ac:dyDescent="0.3">
      <c r="B76">
        <v>68</v>
      </c>
      <c r="C76" s="5">
        <f t="shared" si="6"/>
        <v>936497.40294335759</v>
      </c>
      <c r="D76" s="16">
        <f t="shared" si="7"/>
        <v>1327266.1225449489</v>
      </c>
      <c r="E76" s="6">
        <f t="shared" si="9"/>
        <v>390768.71960159135</v>
      </c>
      <c r="F76" s="6">
        <f t="shared" si="8"/>
        <v>177593232.94771069</v>
      </c>
    </row>
    <row r="77" spans="2:6" x14ac:dyDescent="0.3">
      <c r="B77">
        <v>69</v>
      </c>
      <c r="C77" s="5">
        <f t="shared" si="6"/>
        <v>934441.29740785866</v>
      </c>
      <c r="D77" s="16">
        <f t="shared" si="7"/>
        <v>1327266.1225449489</v>
      </c>
      <c r="E77" s="6">
        <f t="shared" si="9"/>
        <v>392824.82513709029</v>
      </c>
      <c r="F77" s="6">
        <f t="shared" si="8"/>
        <v>177200408.12257361</v>
      </c>
    </row>
    <row r="78" spans="2:6" x14ac:dyDescent="0.3">
      <c r="B78">
        <v>70</v>
      </c>
      <c r="C78" s="5">
        <f t="shared" si="6"/>
        <v>932374.37327363121</v>
      </c>
      <c r="D78" s="16">
        <f t="shared" si="7"/>
        <v>1327266.1225449489</v>
      </c>
      <c r="E78" s="6">
        <f t="shared" si="9"/>
        <v>394891.74927131773</v>
      </c>
      <c r="F78" s="6">
        <f t="shared" si="8"/>
        <v>176805516.37330231</v>
      </c>
    </row>
    <row r="79" spans="2:6" x14ac:dyDescent="0.3">
      <c r="B79">
        <v>71</v>
      </c>
      <c r="C79" s="5">
        <f t="shared" si="6"/>
        <v>930296.57361651596</v>
      </c>
      <c r="D79" s="16">
        <f t="shared" si="7"/>
        <v>1327266.1225449489</v>
      </c>
      <c r="E79" s="6">
        <f t="shared" si="9"/>
        <v>396969.54892843298</v>
      </c>
      <c r="F79" s="6">
        <f t="shared" si="8"/>
        <v>176408546.82437387</v>
      </c>
    </row>
    <row r="80" spans="2:6" x14ac:dyDescent="0.3">
      <c r="B80">
        <v>72</v>
      </c>
      <c r="C80" s="5">
        <f t="shared" si="6"/>
        <v>928207.84121283644</v>
      </c>
      <c r="D80" s="16">
        <f t="shared" si="7"/>
        <v>1327266.1225449489</v>
      </c>
      <c r="E80" s="6">
        <f t="shared" si="9"/>
        <v>399058.2813321125</v>
      </c>
      <c r="F80" s="6">
        <f t="shared" si="8"/>
        <v>176009488.54304177</v>
      </c>
    </row>
    <row r="81" spans="2:6" x14ac:dyDescent="0.3">
      <c r="B81">
        <v>73</v>
      </c>
      <c r="C81" s="5">
        <f t="shared" si="6"/>
        <v>926108.11853782251</v>
      </c>
      <c r="D81" s="16">
        <f t="shared" si="7"/>
        <v>1327266.1225449489</v>
      </c>
      <c r="E81" s="6">
        <f t="shared" si="9"/>
        <v>401158.00400712644</v>
      </c>
      <c r="F81" s="6">
        <f t="shared" si="8"/>
        <v>175608330.53903463</v>
      </c>
    </row>
    <row r="82" spans="2:6" x14ac:dyDescent="0.3">
      <c r="B82">
        <v>74</v>
      </c>
      <c r="C82" s="5">
        <f t="shared" si="6"/>
        <v>923997.34776402661</v>
      </c>
      <c r="D82" s="16">
        <f t="shared" si="7"/>
        <v>1327266.1225449489</v>
      </c>
      <c r="E82" s="6">
        <f t="shared" si="9"/>
        <v>403268.77478092234</v>
      </c>
      <c r="F82" s="6">
        <f t="shared" si="8"/>
        <v>175205061.76425371</v>
      </c>
    </row>
    <row r="83" spans="2:6" x14ac:dyDescent="0.3">
      <c r="B83">
        <v>75</v>
      </c>
      <c r="C83" s="5">
        <f t="shared" si="6"/>
        <v>921875.47075973032</v>
      </c>
      <c r="D83" s="16">
        <f t="shared" si="7"/>
        <v>1327266.1225449489</v>
      </c>
      <c r="E83" s="6">
        <f t="shared" si="9"/>
        <v>405390.65178521862</v>
      </c>
      <c r="F83" s="6">
        <f t="shared" si="8"/>
        <v>174799671.11246848</v>
      </c>
    </row>
    <row r="84" spans="2:6" x14ac:dyDescent="0.3">
      <c r="B84">
        <v>76</v>
      </c>
      <c r="C84" s="5">
        <f t="shared" si="6"/>
        <v>919742.42908734444</v>
      </c>
      <c r="D84" s="16">
        <f t="shared" si="7"/>
        <v>1327266.1225449489</v>
      </c>
      <c r="E84" s="6">
        <f t="shared" si="9"/>
        <v>407523.6934576045</v>
      </c>
      <c r="F84" s="6">
        <f t="shared" si="8"/>
        <v>174392147.41901088</v>
      </c>
    </row>
    <row r="85" spans="2:6" x14ac:dyDescent="0.3">
      <c r="B85">
        <v>77</v>
      </c>
      <c r="C85" s="5">
        <f t="shared" si="6"/>
        <v>917598.16400179872</v>
      </c>
      <c r="D85" s="16">
        <f t="shared" si="7"/>
        <v>1327266.1225449489</v>
      </c>
      <c r="E85" s="6">
        <f t="shared" si="9"/>
        <v>409667.95854315022</v>
      </c>
      <c r="F85" s="6">
        <f t="shared" si="8"/>
        <v>173982479.46046773</v>
      </c>
    </row>
    <row r="86" spans="2:6" x14ac:dyDescent="0.3">
      <c r="B86">
        <v>78</v>
      </c>
      <c r="C86" s="5">
        <f t="shared" si="6"/>
        <v>915442.61644892429</v>
      </c>
      <c r="D86" s="16">
        <f t="shared" si="7"/>
        <v>1327266.1225449489</v>
      </c>
      <c r="E86" s="6">
        <f t="shared" si="9"/>
        <v>411823.50609602465</v>
      </c>
      <c r="F86" s="6">
        <f t="shared" si="8"/>
        <v>173570655.95437169</v>
      </c>
    </row>
    <row r="87" spans="2:6" x14ac:dyDescent="0.3">
      <c r="B87">
        <v>79</v>
      </c>
      <c r="C87" s="5">
        <f t="shared" si="6"/>
        <v>913275.72706382745</v>
      </c>
      <c r="D87" s="16">
        <f t="shared" si="7"/>
        <v>1327266.1225449489</v>
      </c>
      <c r="E87" s="6">
        <f t="shared" si="9"/>
        <v>413990.39548112149</v>
      </c>
      <c r="F87" s="6">
        <f t="shared" si="8"/>
        <v>173156665.55889058</v>
      </c>
    </row>
    <row r="88" spans="2:6" x14ac:dyDescent="0.3">
      <c r="B88">
        <v>80</v>
      </c>
      <c r="C88" s="5">
        <f t="shared" si="6"/>
        <v>911097.43616925459</v>
      </c>
      <c r="D88" s="16">
        <f t="shared" si="7"/>
        <v>1327266.1225449489</v>
      </c>
      <c r="E88" s="6">
        <f t="shared" si="9"/>
        <v>416168.68637569435</v>
      </c>
      <c r="F88" s="6">
        <f t="shared" si="8"/>
        <v>172740496.87251487</v>
      </c>
    </row>
    <row r="89" spans="2:6" x14ac:dyDescent="0.3">
      <c r="B89">
        <v>81</v>
      </c>
      <c r="C89" s="5">
        <f t="shared" si="6"/>
        <v>908907.68377394823</v>
      </c>
      <c r="D89" s="16">
        <f t="shared" si="7"/>
        <v>1327266.1225449489</v>
      </c>
      <c r="E89" s="6">
        <f t="shared" si="9"/>
        <v>418358.43877100071</v>
      </c>
      <c r="F89" s="6">
        <f t="shared" si="8"/>
        <v>172322138.43374386</v>
      </c>
    </row>
    <row r="90" spans="2:6" x14ac:dyDescent="0.3">
      <c r="B90">
        <v>82</v>
      </c>
      <c r="C90" s="5">
        <f t="shared" si="6"/>
        <v>906706.40957099583</v>
      </c>
      <c r="D90" s="16">
        <f t="shared" si="7"/>
        <v>1327266.1225449489</v>
      </c>
      <c r="E90" s="6">
        <f t="shared" si="9"/>
        <v>420559.71297395311</v>
      </c>
      <c r="F90" s="6">
        <f t="shared" si="8"/>
        <v>171901578.72076991</v>
      </c>
    </row>
    <row r="91" spans="2:6" x14ac:dyDescent="0.3">
      <c r="B91">
        <v>83</v>
      </c>
      <c r="C91" s="5">
        <f t="shared" si="6"/>
        <v>904493.55293616804</v>
      </c>
      <c r="D91" s="16">
        <f t="shared" si="7"/>
        <v>1327266.1225449489</v>
      </c>
      <c r="E91" s="6">
        <f t="shared" si="9"/>
        <v>422772.5696087809</v>
      </c>
      <c r="F91" s="6">
        <f t="shared" si="8"/>
        <v>171478806.15116113</v>
      </c>
    </row>
    <row r="92" spans="2:6" x14ac:dyDescent="0.3">
      <c r="B92">
        <v>84</v>
      </c>
      <c r="C92" s="5">
        <f t="shared" si="6"/>
        <v>902269.05292624934</v>
      </c>
      <c r="D92" s="16">
        <f t="shared" si="7"/>
        <v>1327266.1225449489</v>
      </c>
      <c r="E92" s="6">
        <f t="shared" si="9"/>
        <v>424997.06961869961</v>
      </c>
      <c r="F92" s="6">
        <f t="shared" si="8"/>
        <v>171053809.08154243</v>
      </c>
    </row>
    <row r="93" spans="2:6" x14ac:dyDescent="0.3">
      <c r="B93">
        <v>85</v>
      </c>
      <c r="C93" s="5">
        <f t="shared" si="6"/>
        <v>900032.84827735962</v>
      </c>
      <c r="D93" s="16">
        <f t="shared" si="7"/>
        <v>1327266.1225449489</v>
      </c>
      <c r="E93" s="6">
        <f t="shared" si="9"/>
        <v>427233.27426758932</v>
      </c>
      <c r="F93" s="6">
        <f t="shared" si="8"/>
        <v>170626575.80727485</v>
      </c>
    </row>
    <row r="94" spans="2:6" x14ac:dyDescent="0.3">
      <c r="B94">
        <v>86</v>
      </c>
      <c r="C94" s="5">
        <f t="shared" si="6"/>
        <v>897784.87740326684</v>
      </c>
      <c r="D94" s="16">
        <f t="shared" si="7"/>
        <v>1327266.1225449489</v>
      </c>
      <c r="E94" s="6">
        <f t="shared" si="9"/>
        <v>429481.2451416821</v>
      </c>
      <c r="F94" s="6">
        <f t="shared" si="8"/>
        <v>170197094.56213316</v>
      </c>
    </row>
    <row r="95" spans="2:6" x14ac:dyDescent="0.3">
      <c r="B95">
        <v>87</v>
      </c>
      <c r="C95" s="5">
        <f t="shared" si="6"/>
        <v>895525.07839369145</v>
      </c>
      <c r="D95" s="16">
        <f t="shared" si="7"/>
        <v>1327266.1225449489</v>
      </c>
      <c r="E95" s="6">
        <f t="shared" si="9"/>
        <v>431741.04415125749</v>
      </c>
      <c r="F95" s="6">
        <f t="shared" si="8"/>
        <v>169765353.51798192</v>
      </c>
    </row>
    <row r="96" spans="2:6" x14ac:dyDescent="0.3">
      <c r="B96">
        <v>88</v>
      </c>
      <c r="C96" s="5">
        <f t="shared" si="6"/>
        <v>893253.38901260053</v>
      </c>
      <c r="D96" s="16">
        <f t="shared" si="7"/>
        <v>1327266.1225449489</v>
      </c>
      <c r="E96" s="6">
        <f t="shared" si="9"/>
        <v>434012.73353234841</v>
      </c>
      <c r="F96" s="6">
        <f t="shared" si="8"/>
        <v>169331340.78444958</v>
      </c>
    </row>
    <row r="97" spans="2:6" x14ac:dyDescent="0.3">
      <c r="B97">
        <v>89</v>
      </c>
      <c r="C97" s="5">
        <f t="shared" si="6"/>
        <v>890969.7466964944</v>
      </c>
      <c r="D97" s="16">
        <f t="shared" si="7"/>
        <v>1327266.1225449489</v>
      </c>
      <c r="E97" s="6">
        <f t="shared" si="9"/>
        <v>436296.37584845454</v>
      </c>
      <c r="F97" s="6">
        <f t="shared" si="8"/>
        <v>168895044.40860114</v>
      </c>
    </row>
    <row r="98" spans="2:6" x14ac:dyDescent="0.3">
      <c r="B98">
        <v>90</v>
      </c>
      <c r="C98" s="5">
        <f t="shared" si="6"/>
        <v>888674.08855268324</v>
      </c>
      <c r="D98" s="16">
        <f t="shared" si="7"/>
        <v>1327266.1225449489</v>
      </c>
      <c r="E98" s="6">
        <f t="shared" si="9"/>
        <v>438592.0339922657</v>
      </c>
      <c r="F98" s="6">
        <f t="shared" si="8"/>
        <v>168456452.37460887</v>
      </c>
    </row>
    <row r="99" spans="2:6" x14ac:dyDescent="0.3">
      <c r="B99">
        <v>91</v>
      </c>
      <c r="C99" s="5">
        <f t="shared" si="6"/>
        <v>886366.35135755513</v>
      </c>
      <c r="D99" s="16">
        <f t="shared" si="7"/>
        <v>1327266.1225449489</v>
      </c>
      <c r="E99" s="6">
        <f t="shared" si="9"/>
        <v>440899.77118739381</v>
      </c>
      <c r="F99" s="6">
        <f t="shared" si="8"/>
        <v>168015552.60342148</v>
      </c>
    </row>
    <row r="100" spans="2:6" x14ac:dyDescent="0.3">
      <c r="B100">
        <v>92</v>
      </c>
      <c r="C100" s="5">
        <f t="shared" si="6"/>
        <v>884046.47155483498</v>
      </c>
      <c r="D100" s="16">
        <f t="shared" si="7"/>
        <v>1327266.1225449489</v>
      </c>
      <c r="E100" s="6">
        <f t="shared" si="9"/>
        <v>443219.65099011397</v>
      </c>
      <c r="F100" s="6">
        <f t="shared" si="8"/>
        <v>167572332.95243135</v>
      </c>
    </row>
    <row r="101" spans="2:6" x14ac:dyDescent="0.3">
      <c r="B101">
        <v>93</v>
      </c>
      <c r="C101" s="5">
        <f t="shared" si="6"/>
        <v>881714.38525383372</v>
      </c>
      <c r="D101" s="16">
        <f t="shared" si="7"/>
        <v>1327266.1225449489</v>
      </c>
      <c r="E101" s="6">
        <f t="shared" si="9"/>
        <v>445551.73729111522</v>
      </c>
      <c r="F101" s="6">
        <f t="shared" si="8"/>
        <v>167126781.21514022</v>
      </c>
    </row>
    <row r="102" spans="2:6" x14ac:dyDescent="0.3">
      <c r="B102">
        <v>94</v>
      </c>
      <c r="C102" s="5">
        <f t="shared" si="6"/>
        <v>879370.02822768944</v>
      </c>
      <c r="D102" s="16">
        <f t="shared" si="7"/>
        <v>1327266.1225449489</v>
      </c>
      <c r="E102" s="6">
        <f t="shared" si="9"/>
        <v>447896.0943172595</v>
      </c>
      <c r="F102" s="6">
        <f t="shared" si="8"/>
        <v>166678885.12082297</v>
      </c>
    </row>
    <row r="103" spans="2:6" x14ac:dyDescent="0.3">
      <c r="B103">
        <v>95</v>
      </c>
      <c r="C103" s="5">
        <f t="shared" si="6"/>
        <v>877013.33591159782</v>
      </c>
      <c r="D103" s="16">
        <f t="shared" si="7"/>
        <v>1327266.1225449489</v>
      </c>
      <c r="E103" s="6">
        <f t="shared" si="9"/>
        <v>450252.78663335112</v>
      </c>
      <c r="F103" s="6">
        <f t="shared" si="8"/>
        <v>166228632.33418962</v>
      </c>
    </row>
    <row r="104" spans="2:6" x14ac:dyDescent="0.3">
      <c r="B104">
        <v>96</v>
      </c>
      <c r="C104" s="5">
        <f t="shared" si="6"/>
        <v>874644.2434010345</v>
      </c>
      <c r="D104" s="16">
        <f t="shared" si="7"/>
        <v>1327266.1225449489</v>
      </c>
      <c r="E104" s="6">
        <f t="shared" si="9"/>
        <v>452621.87914391444</v>
      </c>
      <c r="F104" s="6">
        <f t="shared" si="8"/>
        <v>165776010.4550457</v>
      </c>
    </row>
    <row r="105" spans="2:6" x14ac:dyDescent="0.3">
      <c r="B105">
        <v>97</v>
      </c>
      <c r="C105" s="5">
        <f t="shared" si="6"/>
        <v>872262.68544996681</v>
      </c>
      <c r="D105" s="16">
        <f t="shared" si="7"/>
        <v>1327266.1225449489</v>
      </c>
      <c r="E105" s="6">
        <f t="shared" si="9"/>
        <v>455003.43709498213</v>
      </c>
      <c r="F105" s="6">
        <f t="shared" si="8"/>
        <v>165321007.01795071</v>
      </c>
    </row>
    <row r="106" spans="2:6" x14ac:dyDescent="0.3">
      <c r="B106">
        <v>98</v>
      </c>
      <c r="C106" s="5">
        <f t="shared" si="6"/>
        <v>869868.59646905807</v>
      </c>
      <c r="D106" s="16">
        <f t="shared" si="7"/>
        <v>1327266.1225449489</v>
      </c>
      <c r="E106" s="6">
        <f t="shared" si="9"/>
        <v>457397.52607589087</v>
      </c>
      <c r="F106" s="6">
        <f t="shared" si="8"/>
        <v>164863609.49187481</v>
      </c>
    </row>
    <row r="107" spans="2:6" x14ac:dyDescent="0.3">
      <c r="B107">
        <v>99</v>
      </c>
      <c r="C107" s="5">
        <f t="shared" si="6"/>
        <v>867461.91052386013</v>
      </c>
      <c r="D107" s="16">
        <f t="shared" si="7"/>
        <v>1327266.1225449489</v>
      </c>
      <c r="E107" s="6">
        <f t="shared" si="9"/>
        <v>459804.21202108881</v>
      </c>
      <c r="F107" s="6">
        <f t="shared" si="8"/>
        <v>164403805.27985373</v>
      </c>
    </row>
    <row r="108" spans="2:6" x14ac:dyDescent="0.3">
      <c r="B108">
        <v>100</v>
      </c>
      <c r="C108" s="5">
        <f t="shared" si="6"/>
        <v>865042.56133299833</v>
      </c>
      <c r="D108" s="16">
        <f t="shared" si="7"/>
        <v>1327266.1225449489</v>
      </c>
      <c r="E108" s="6">
        <f t="shared" si="9"/>
        <v>462223.56121195061</v>
      </c>
      <c r="F108" s="6">
        <f t="shared" si="8"/>
        <v>163941581.71864179</v>
      </c>
    </row>
    <row r="109" spans="2:6" x14ac:dyDescent="0.3">
      <c r="B109">
        <v>101</v>
      </c>
      <c r="C109" s="5">
        <f t="shared" si="6"/>
        <v>862610.48226634529</v>
      </c>
      <c r="D109" s="16">
        <f t="shared" si="7"/>
        <v>1327266.1225449489</v>
      </c>
      <c r="E109" s="6">
        <f t="shared" si="9"/>
        <v>464655.64027860365</v>
      </c>
      <c r="F109" s="6">
        <f t="shared" si="8"/>
        <v>163476926.07836318</v>
      </c>
    </row>
    <row r="110" spans="2:6" x14ac:dyDescent="0.3">
      <c r="B110">
        <v>102</v>
      </c>
      <c r="C110" s="5">
        <f t="shared" si="6"/>
        <v>860165.60634318634</v>
      </c>
      <c r="D110" s="16">
        <f t="shared" si="7"/>
        <v>1327266.1225449489</v>
      </c>
      <c r="E110" s="6">
        <f t="shared" si="9"/>
        <v>467100.5162017626</v>
      </c>
      <c r="F110" s="6">
        <f t="shared" si="8"/>
        <v>163009825.56216142</v>
      </c>
    </row>
    <row r="111" spans="2:6" x14ac:dyDescent="0.3">
      <c r="B111">
        <v>103</v>
      </c>
      <c r="C111" s="5">
        <f t="shared" si="6"/>
        <v>857707.8662303749</v>
      </c>
      <c r="D111" s="16">
        <f t="shared" si="7"/>
        <v>1327266.1225449489</v>
      </c>
      <c r="E111" s="6">
        <f t="shared" si="9"/>
        <v>469558.25631457404</v>
      </c>
      <c r="F111" s="6">
        <f t="shared" si="8"/>
        <v>162540267.30584684</v>
      </c>
    </row>
    <row r="112" spans="2:6" x14ac:dyDescent="0.3">
      <c r="B112">
        <v>104</v>
      </c>
      <c r="C112" s="5">
        <f t="shared" si="6"/>
        <v>855237.19424047787</v>
      </c>
      <c r="D112" s="16">
        <f t="shared" si="7"/>
        <v>1327266.1225449489</v>
      </c>
      <c r="E112" s="6">
        <f t="shared" si="9"/>
        <v>472028.92830447108</v>
      </c>
      <c r="F112" s="6">
        <f t="shared" si="8"/>
        <v>162068238.37754238</v>
      </c>
    </row>
    <row r="113" spans="2:6" x14ac:dyDescent="0.3">
      <c r="B113">
        <v>105</v>
      </c>
      <c r="C113" s="5">
        <f t="shared" si="6"/>
        <v>852753.52232991171</v>
      </c>
      <c r="D113" s="16">
        <f t="shared" si="7"/>
        <v>1327266.1225449489</v>
      </c>
      <c r="E113" s="6">
        <f t="shared" si="9"/>
        <v>474512.60021503724</v>
      </c>
      <c r="F113" s="6">
        <f t="shared" si="8"/>
        <v>161593725.77732733</v>
      </c>
    </row>
    <row r="114" spans="2:6" x14ac:dyDescent="0.3">
      <c r="B114">
        <v>106</v>
      </c>
      <c r="C114" s="5">
        <f t="shared" si="6"/>
        <v>850256.78209706803</v>
      </c>
      <c r="D114" s="16">
        <f t="shared" si="7"/>
        <v>1327266.1225449489</v>
      </c>
      <c r="E114" s="6">
        <f t="shared" si="9"/>
        <v>477009.34044788091</v>
      </c>
      <c r="F114" s="6">
        <f t="shared" si="8"/>
        <v>161116716.43687946</v>
      </c>
    </row>
    <row r="115" spans="2:6" x14ac:dyDescent="0.3">
      <c r="B115">
        <v>107</v>
      </c>
      <c r="C115" s="5">
        <f t="shared" si="6"/>
        <v>847746.90478043049</v>
      </c>
      <c r="D115" s="16">
        <f t="shared" si="7"/>
        <v>1327266.1225449489</v>
      </c>
      <c r="E115" s="6">
        <f t="shared" si="9"/>
        <v>479519.21776451846</v>
      </c>
      <c r="F115" s="6">
        <f t="shared" si="8"/>
        <v>160637197.21911493</v>
      </c>
    </row>
    <row r="116" spans="2:6" x14ac:dyDescent="0.3">
      <c r="B116">
        <v>108</v>
      </c>
      <c r="C116" s="5">
        <f t="shared" si="6"/>
        <v>845223.82125668041</v>
      </c>
      <c r="D116" s="16">
        <f t="shared" si="7"/>
        <v>1327266.1225449489</v>
      </c>
      <c r="E116" s="6">
        <f t="shared" si="9"/>
        <v>482042.30128826853</v>
      </c>
      <c r="F116" s="6">
        <f t="shared" si="8"/>
        <v>160155154.91782665</v>
      </c>
    </row>
    <row r="117" spans="2:6" x14ac:dyDescent="0.3">
      <c r="B117">
        <v>109</v>
      </c>
      <c r="C117" s="5">
        <f t="shared" si="6"/>
        <v>842687.46203879337</v>
      </c>
      <c r="D117" s="16">
        <f t="shared" si="7"/>
        <v>1327266.1225449489</v>
      </c>
      <c r="E117" s="6">
        <f t="shared" si="9"/>
        <v>484578.66050615557</v>
      </c>
      <c r="F117" s="6">
        <f t="shared" si="8"/>
        <v>159670576.25732049</v>
      </c>
    </row>
    <row r="118" spans="2:6" x14ac:dyDescent="0.3">
      <c r="B118">
        <v>110</v>
      </c>
      <c r="C118" s="5">
        <f t="shared" si="6"/>
        <v>840137.75727412559</v>
      </c>
      <c r="D118" s="16">
        <f t="shared" si="7"/>
        <v>1327266.1225449489</v>
      </c>
      <c r="E118" s="6">
        <f t="shared" si="9"/>
        <v>487128.36527082336</v>
      </c>
      <c r="F118" s="6">
        <f t="shared" si="8"/>
        <v>159183447.89204967</v>
      </c>
    </row>
    <row r="119" spans="2:6" x14ac:dyDescent="0.3">
      <c r="B119">
        <v>111</v>
      </c>
      <c r="C119" s="5">
        <f t="shared" si="6"/>
        <v>837574.63674248988</v>
      </c>
      <c r="D119" s="16">
        <f t="shared" si="7"/>
        <v>1327266.1225449489</v>
      </c>
      <c r="E119" s="6">
        <f t="shared" si="9"/>
        <v>489691.48580245906</v>
      </c>
      <c r="F119" s="6">
        <f t="shared" si="8"/>
        <v>158693756.4062472</v>
      </c>
    </row>
    <row r="120" spans="2:6" x14ac:dyDescent="0.3">
      <c r="B120">
        <v>112</v>
      </c>
      <c r="C120" s="5">
        <f t="shared" si="6"/>
        <v>834998.02985422185</v>
      </c>
      <c r="D120" s="16">
        <f t="shared" si="7"/>
        <v>1327266.1225449489</v>
      </c>
      <c r="E120" s="6">
        <f t="shared" si="9"/>
        <v>492268.09269072709</v>
      </c>
      <c r="F120" s="6">
        <f t="shared" si="8"/>
        <v>158201488.31355646</v>
      </c>
    </row>
    <row r="121" spans="2:6" x14ac:dyDescent="0.3">
      <c r="B121">
        <v>113</v>
      </c>
      <c r="C121" s="5">
        <f t="shared" si="6"/>
        <v>832407.86564823636</v>
      </c>
      <c r="D121" s="16">
        <f t="shared" si="7"/>
        <v>1327266.1225449489</v>
      </c>
      <c r="E121" s="6">
        <f t="shared" si="9"/>
        <v>494858.25689671258</v>
      </c>
      <c r="F121" s="6">
        <f t="shared" si="8"/>
        <v>157706630.05665976</v>
      </c>
    </row>
    <row r="122" spans="2:6" x14ac:dyDescent="0.3">
      <c r="B122">
        <v>114</v>
      </c>
      <c r="C122" s="5">
        <f t="shared" si="6"/>
        <v>829804.07279007207</v>
      </c>
      <c r="D122" s="16">
        <f t="shared" si="7"/>
        <v>1327266.1225449489</v>
      </c>
      <c r="E122" s="6">
        <f t="shared" si="9"/>
        <v>497462.04975487688</v>
      </c>
      <c r="F122" s="6">
        <f t="shared" si="8"/>
        <v>157209168.00690487</v>
      </c>
    </row>
    <row r="123" spans="2:6" x14ac:dyDescent="0.3">
      <c r="B123">
        <v>115</v>
      </c>
      <c r="C123" s="5">
        <f t="shared" si="6"/>
        <v>827186.57956992777</v>
      </c>
      <c r="D123" s="16">
        <f t="shared" si="7"/>
        <v>1327266.1225449489</v>
      </c>
      <c r="E123" s="6">
        <f t="shared" si="9"/>
        <v>500079.54297502118</v>
      </c>
      <c r="F123" s="6">
        <f t="shared" si="8"/>
        <v>156709088.46392986</v>
      </c>
    </row>
    <row r="124" spans="2:6" x14ac:dyDescent="0.3">
      <c r="B124">
        <v>116</v>
      </c>
      <c r="C124" s="5">
        <f t="shared" si="6"/>
        <v>824555.31390068762</v>
      </c>
      <c r="D124" s="16">
        <f t="shared" si="7"/>
        <v>1327266.1225449489</v>
      </c>
      <c r="E124" s="6">
        <f t="shared" si="9"/>
        <v>502710.80864426133</v>
      </c>
      <c r="F124" s="6">
        <f t="shared" si="8"/>
        <v>156206377.6552856</v>
      </c>
    </row>
    <row r="125" spans="2:6" x14ac:dyDescent="0.3">
      <c r="B125">
        <v>117</v>
      </c>
      <c r="C125" s="5">
        <f t="shared" si="6"/>
        <v>821910.20331593452</v>
      </c>
      <c r="D125" s="16">
        <f t="shared" si="7"/>
        <v>1327266.1225449489</v>
      </c>
      <c r="E125" s="6">
        <f t="shared" si="9"/>
        <v>505355.91922901443</v>
      </c>
      <c r="F125" s="6">
        <f t="shared" si="8"/>
        <v>155701021.7360566</v>
      </c>
    </row>
    <row r="126" spans="2:6" x14ac:dyDescent="0.3">
      <c r="B126">
        <v>118</v>
      </c>
      <c r="C126" s="5">
        <f t="shared" si="6"/>
        <v>819251.17496795615</v>
      </c>
      <c r="D126" s="16">
        <f t="shared" si="7"/>
        <v>1327266.1225449489</v>
      </c>
      <c r="E126" s="6">
        <f t="shared" si="9"/>
        <v>508014.9475769928</v>
      </c>
      <c r="F126" s="6">
        <f t="shared" si="8"/>
        <v>155193006.7884796</v>
      </c>
    </row>
    <row r="127" spans="2:6" x14ac:dyDescent="0.3">
      <c r="B127">
        <v>119</v>
      </c>
      <c r="C127" s="5">
        <f t="shared" si="6"/>
        <v>816578.15562573716</v>
      </c>
      <c r="D127" s="16">
        <f t="shared" si="7"/>
        <v>1327266.1225449489</v>
      </c>
      <c r="E127" s="6">
        <f t="shared" si="9"/>
        <v>510687.96691921179</v>
      </c>
      <c r="F127" s="6">
        <f t="shared" si="8"/>
        <v>154682318.82156038</v>
      </c>
    </row>
    <row r="128" spans="2:6" x14ac:dyDescent="0.3">
      <c r="B128">
        <v>120</v>
      </c>
      <c r="C128" s="5">
        <f t="shared" si="6"/>
        <v>813891.0716729433</v>
      </c>
      <c r="D128" s="16">
        <f t="shared" si="7"/>
        <v>1327266.1225449489</v>
      </c>
      <c r="E128" s="6">
        <f t="shared" si="9"/>
        <v>513375.05087200564</v>
      </c>
      <c r="F128" s="6">
        <f t="shared" si="8"/>
        <v>154168943.77068838</v>
      </c>
    </row>
    <row r="129" spans="2:6" x14ac:dyDescent="0.3">
      <c r="B129">
        <v>121</v>
      </c>
      <c r="C129" s="5">
        <f t="shared" si="6"/>
        <v>811189.84910589375</v>
      </c>
      <c r="D129" s="16">
        <f t="shared" si="7"/>
        <v>1327266.1225449489</v>
      </c>
      <c r="E129" s="6">
        <f t="shared" si="9"/>
        <v>516076.27343905519</v>
      </c>
      <c r="F129" s="6">
        <f t="shared" si="8"/>
        <v>153652867.49724934</v>
      </c>
    </row>
    <row r="130" spans="2:6" x14ac:dyDescent="0.3">
      <c r="B130">
        <v>122</v>
      </c>
      <c r="C130" s="5">
        <f t="shared" si="6"/>
        <v>808474.4135315225</v>
      </c>
      <c r="D130" s="16">
        <f t="shared" si="7"/>
        <v>1327266.1225449489</v>
      </c>
      <c r="E130" s="6">
        <f t="shared" si="9"/>
        <v>518791.70901342644</v>
      </c>
      <c r="F130" s="6">
        <f t="shared" si="8"/>
        <v>153134075.7882359</v>
      </c>
    </row>
    <row r="131" spans="2:6" x14ac:dyDescent="0.3">
      <c r="B131">
        <v>123</v>
      </c>
      <c r="C131" s="5">
        <f t="shared" si="6"/>
        <v>805744.69016533054</v>
      </c>
      <c r="D131" s="16">
        <f t="shared" si="7"/>
        <v>1327266.1225449489</v>
      </c>
      <c r="E131" s="6">
        <f t="shared" si="9"/>
        <v>521521.4323796184</v>
      </c>
      <c r="F131" s="6">
        <f t="shared" si="8"/>
        <v>152612554.35585627</v>
      </c>
    </row>
    <row r="132" spans="2:6" x14ac:dyDescent="0.3">
      <c r="B132">
        <v>124</v>
      </c>
      <c r="C132" s="5">
        <f t="shared" si="6"/>
        <v>803000.60382932518</v>
      </c>
      <c r="D132" s="16">
        <f t="shared" si="7"/>
        <v>1327266.1225449489</v>
      </c>
      <c r="E132" s="6">
        <f t="shared" si="9"/>
        <v>524265.51871562377</v>
      </c>
      <c r="F132" s="6">
        <f t="shared" si="8"/>
        <v>152088288.83714065</v>
      </c>
    </row>
    <row r="133" spans="2:6" x14ac:dyDescent="0.3">
      <c r="B133">
        <v>125</v>
      </c>
      <c r="C133" s="5">
        <f t="shared" si="6"/>
        <v>800242.07894995052</v>
      </c>
      <c r="D133" s="16">
        <f t="shared" si="7"/>
        <v>1327266.1225449489</v>
      </c>
      <c r="E133" s="6">
        <f t="shared" si="9"/>
        <v>527024.04359499842</v>
      </c>
      <c r="F133" s="6">
        <f t="shared" si="8"/>
        <v>151561264.79354566</v>
      </c>
    </row>
    <row r="134" spans="2:6" x14ac:dyDescent="0.3">
      <c r="B134">
        <v>126</v>
      </c>
      <c r="C134" s="5">
        <f t="shared" si="6"/>
        <v>797469.03955600562</v>
      </c>
      <c r="D134" s="16">
        <f t="shared" si="7"/>
        <v>1327266.1225449489</v>
      </c>
      <c r="E134" s="6">
        <f t="shared" si="9"/>
        <v>529797.08298894332</v>
      </c>
      <c r="F134" s="6">
        <f t="shared" si="8"/>
        <v>151031467.71055672</v>
      </c>
    </row>
    <row r="135" spans="2:6" x14ac:dyDescent="0.3">
      <c r="B135">
        <v>127</v>
      </c>
      <c r="C135" s="5">
        <f t="shared" si="6"/>
        <v>794681.40927655203</v>
      </c>
      <c r="D135" s="16">
        <f t="shared" si="7"/>
        <v>1327266.1225449489</v>
      </c>
      <c r="E135" s="6">
        <f t="shared" si="9"/>
        <v>532584.71326839691</v>
      </c>
      <c r="F135" s="6">
        <f t="shared" si="8"/>
        <v>150498882.99728832</v>
      </c>
    </row>
    <row r="136" spans="2:6" x14ac:dyDescent="0.3">
      <c r="B136">
        <v>128</v>
      </c>
      <c r="C136" s="5">
        <f t="shared" si="6"/>
        <v>791879.11133881111</v>
      </c>
      <c r="D136" s="16">
        <f t="shared" si="7"/>
        <v>1327266.1225449489</v>
      </c>
      <c r="E136" s="6">
        <f t="shared" si="9"/>
        <v>535387.01120613783</v>
      </c>
      <c r="F136" s="6">
        <f t="shared" si="8"/>
        <v>149963495.98608217</v>
      </c>
    </row>
    <row r="137" spans="2:6" x14ac:dyDescent="0.3">
      <c r="B137">
        <v>129</v>
      </c>
      <c r="C137" s="5">
        <f t="shared" si="6"/>
        <v>789062.0685660491</v>
      </c>
      <c r="D137" s="16">
        <f t="shared" si="7"/>
        <v>1327266.1225449489</v>
      </c>
      <c r="E137" s="6">
        <f t="shared" si="9"/>
        <v>538204.05397889984</v>
      </c>
      <c r="F137" s="6">
        <f t="shared" si="8"/>
        <v>149425291.93210328</v>
      </c>
    </row>
    <row r="138" spans="2:6" x14ac:dyDescent="0.3">
      <c r="B138">
        <v>130</v>
      </c>
      <c r="C138" s="5">
        <f t="shared" ref="C138:C201" si="10">F137*$D$4</f>
        <v>786230.20337545208</v>
      </c>
      <c r="D138" s="16">
        <f t="shared" ref="D138:D201" si="11">$C$5</f>
        <v>1327266.1225449489</v>
      </c>
      <c r="E138" s="6">
        <f t="shared" si="9"/>
        <v>541035.91916949686</v>
      </c>
      <c r="F138" s="6">
        <f t="shared" ref="F138:F201" si="12">F137-E138</f>
        <v>148884256.01293379</v>
      </c>
    </row>
    <row r="139" spans="2:6" x14ac:dyDescent="0.3">
      <c r="B139">
        <v>131</v>
      </c>
      <c r="C139" s="5">
        <f t="shared" si="10"/>
        <v>783383.43777598895</v>
      </c>
      <c r="D139" s="16">
        <f t="shared" si="11"/>
        <v>1327266.1225449489</v>
      </c>
      <c r="E139" s="6">
        <f t="shared" ref="E139:E202" si="13">D139-C139</f>
        <v>543882.68476896</v>
      </c>
      <c r="F139" s="6">
        <f t="shared" si="12"/>
        <v>148340373.32816482</v>
      </c>
    </row>
    <row r="140" spans="2:6" x14ac:dyDescent="0.3">
      <c r="B140">
        <v>132</v>
      </c>
      <c r="C140" s="5">
        <f t="shared" si="10"/>
        <v>780521.69336626353</v>
      </c>
      <c r="D140" s="16">
        <f t="shared" si="11"/>
        <v>1327266.1225449489</v>
      </c>
      <c r="E140" s="6">
        <f t="shared" si="13"/>
        <v>546744.42917868542</v>
      </c>
      <c r="F140" s="6">
        <f t="shared" si="12"/>
        <v>147793628.89898613</v>
      </c>
    </row>
    <row r="141" spans="2:6" x14ac:dyDescent="0.3">
      <c r="B141">
        <v>133</v>
      </c>
      <c r="C141" s="5">
        <f t="shared" si="10"/>
        <v>777644.89133235556</v>
      </c>
      <c r="D141" s="16">
        <f t="shared" si="11"/>
        <v>1327266.1225449489</v>
      </c>
      <c r="E141" s="6">
        <f t="shared" si="13"/>
        <v>549621.23121259338</v>
      </c>
      <c r="F141" s="6">
        <f t="shared" si="12"/>
        <v>147244007.66777354</v>
      </c>
    </row>
    <row r="142" spans="2:6" x14ac:dyDescent="0.3">
      <c r="B142">
        <v>134</v>
      </c>
      <c r="C142" s="5">
        <f t="shared" si="10"/>
        <v>774752.95244565036</v>
      </c>
      <c r="D142" s="16">
        <f t="shared" si="11"/>
        <v>1327266.1225449489</v>
      </c>
      <c r="E142" s="6">
        <f t="shared" si="13"/>
        <v>552513.17009929859</v>
      </c>
      <c r="F142" s="6">
        <f t="shared" si="12"/>
        <v>146691494.49767426</v>
      </c>
    </row>
    <row r="143" spans="2:6" x14ac:dyDescent="0.3">
      <c r="B143">
        <v>135</v>
      </c>
      <c r="C143" s="5">
        <f t="shared" si="10"/>
        <v>771845.7970606559</v>
      </c>
      <c r="D143" s="16">
        <f t="shared" si="11"/>
        <v>1327266.1225449489</v>
      </c>
      <c r="E143" s="6">
        <f t="shared" si="13"/>
        <v>555420.32548429305</v>
      </c>
      <c r="F143" s="6">
        <f t="shared" si="12"/>
        <v>146136074.17218995</v>
      </c>
    </row>
    <row r="144" spans="2:6" x14ac:dyDescent="0.3">
      <c r="B144">
        <v>136</v>
      </c>
      <c r="C144" s="5">
        <f t="shared" si="10"/>
        <v>768923.34511281026</v>
      </c>
      <c r="D144" s="16">
        <f t="shared" si="11"/>
        <v>1327266.1225449489</v>
      </c>
      <c r="E144" s="6">
        <f t="shared" si="13"/>
        <v>558342.77743213868</v>
      </c>
      <c r="F144" s="6">
        <f t="shared" si="12"/>
        <v>145577731.39475781</v>
      </c>
    </row>
    <row r="145" spans="2:6" x14ac:dyDescent="0.3">
      <c r="B145">
        <v>137</v>
      </c>
      <c r="C145" s="5">
        <f t="shared" si="10"/>
        <v>765985.51611627627</v>
      </c>
      <c r="D145" s="16">
        <f t="shared" si="11"/>
        <v>1327266.1225449489</v>
      </c>
      <c r="E145" s="6">
        <f t="shared" si="13"/>
        <v>561280.60642867268</v>
      </c>
      <c r="F145" s="6">
        <f t="shared" si="12"/>
        <v>145016450.78832912</v>
      </c>
    </row>
    <row r="146" spans="2:6" x14ac:dyDescent="0.3">
      <c r="B146">
        <v>138</v>
      </c>
      <c r="C146" s="5">
        <f t="shared" si="10"/>
        <v>763032.2291617248</v>
      </c>
      <c r="D146" s="16">
        <f t="shared" si="11"/>
        <v>1327266.1225449489</v>
      </c>
      <c r="E146" s="6">
        <f t="shared" si="13"/>
        <v>564233.89338322415</v>
      </c>
      <c r="F146" s="6">
        <f t="shared" si="12"/>
        <v>144452216.89494589</v>
      </c>
    </row>
    <row r="147" spans="2:6" x14ac:dyDescent="0.3">
      <c r="B147">
        <v>139</v>
      </c>
      <c r="C147" s="5">
        <f t="shared" si="10"/>
        <v>760063.40291410673</v>
      </c>
      <c r="D147" s="16">
        <f t="shared" si="11"/>
        <v>1327266.1225449489</v>
      </c>
      <c r="E147" s="6">
        <f t="shared" si="13"/>
        <v>567202.71963084221</v>
      </c>
      <c r="F147" s="6">
        <f t="shared" si="12"/>
        <v>143885014.17531505</v>
      </c>
    </row>
    <row r="148" spans="2:6" x14ac:dyDescent="0.3">
      <c r="B148">
        <v>140</v>
      </c>
      <c r="C148" s="5">
        <f t="shared" si="10"/>
        <v>757078.95561041264</v>
      </c>
      <c r="D148" s="16">
        <f t="shared" si="11"/>
        <v>1327266.1225449489</v>
      </c>
      <c r="E148" s="6">
        <f t="shared" si="13"/>
        <v>570187.1669345363</v>
      </c>
      <c r="F148" s="6">
        <f t="shared" si="12"/>
        <v>143314827.0083805</v>
      </c>
    </row>
    <row r="149" spans="2:6" x14ac:dyDescent="0.3">
      <c r="B149">
        <v>141</v>
      </c>
      <c r="C149" s="5">
        <f t="shared" si="10"/>
        <v>754078.80505742109</v>
      </c>
      <c r="D149" s="16">
        <f t="shared" si="11"/>
        <v>1327266.1225449489</v>
      </c>
      <c r="E149" s="6">
        <f t="shared" si="13"/>
        <v>573187.31748752785</v>
      </c>
      <c r="F149" s="6">
        <f t="shared" si="12"/>
        <v>142741639.69089296</v>
      </c>
    </row>
    <row r="150" spans="2:6" x14ac:dyDescent="0.3">
      <c r="B150">
        <v>142</v>
      </c>
      <c r="C150" s="5">
        <f t="shared" si="10"/>
        <v>751062.86862943519</v>
      </c>
      <c r="D150" s="16">
        <f t="shared" si="11"/>
        <v>1327266.1225449489</v>
      </c>
      <c r="E150" s="6">
        <f t="shared" si="13"/>
        <v>576203.25391551375</v>
      </c>
      <c r="F150" s="6">
        <f t="shared" si="12"/>
        <v>142165436.43697745</v>
      </c>
    </row>
    <row r="151" spans="2:6" x14ac:dyDescent="0.3">
      <c r="B151">
        <v>143</v>
      </c>
      <c r="C151" s="5">
        <f t="shared" si="10"/>
        <v>748031.06326600688</v>
      </c>
      <c r="D151" s="16">
        <f t="shared" si="11"/>
        <v>1327266.1225449489</v>
      </c>
      <c r="E151" s="6">
        <f t="shared" si="13"/>
        <v>579235.05927894206</v>
      </c>
      <c r="F151" s="6">
        <f t="shared" si="12"/>
        <v>141586201.37769851</v>
      </c>
    </row>
    <row r="152" spans="2:6" x14ac:dyDescent="0.3">
      <c r="B152">
        <v>144</v>
      </c>
      <c r="C152" s="5">
        <f t="shared" si="10"/>
        <v>744983.30546964938</v>
      </c>
      <c r="D152" s="16">
        <f t="shared" si="11"/>
        <v>1327266.1225449489</v>
      </c>
      <c r="E152" s="6">
        <f t="shared" si="13"/>
        <v>582282.81707529956</v>
      </c>
      <c r="F152" s="6">
        <f t="shared" si="12"/>
        <v>141003918.5606232</v>
      </c>
    </row>
    <row r="153" spans="2:6" x14ac:dyDescent="0.3">
      <c r="B153">
        <v>145</v>
      </c>
      <c r="C153" s="5">
        <f t="shared" si="10"/>
        <v>741919.51130353741</v>
      </c>
      <c r="D153" s="16">
        <f t="shared" si="11"/>
        <v>1327266.1225449489</v>
      </c>
      <c r="E153" s="6">
        <f t="shared" si="13"/>
        <v>585346.61124141153</v>
      </c>
      <c r="F153" s="6">
        <f t="shared" si="12"/>
        <v>140418571.9493818</v>
      </c>
    </row>
    <row r="154" spans="2:6" x14ac:dyDescent="0.3">
      <c r="B154">
        <v>146</v>
      </c>
      <c r="C154" s="5">
        <f t="shared" si="10"/>
        <v>738839.59638919623</v>
      </c>
      <c r="D154" s="16">
        <f t="shared" si="11"/>
        <v>1327266.1225449489</v>
      </c>
      <c r="E154" s="6">
        <f t="shared" si="13"/>
        <v>588426.52615575271</v>
      </c>
      <c r="F154" s="6">
        <f t="shared" si="12"/>
        <v>139830145.42322606</v>
      </c>
    </row>
    <row r="155" spans="2:6" x14ac:dyDescent="0.3">
      <c r="B155">
        <v>147</v>
      </c>
      <c r="C155" s="5">
        <f t="shared" si="10"/>
        <v>735743.47590417718</v>
      </c>
      <c r="D155" s="16">
        <f t="shared" si="11"/>
        <v>1327266.1225449489</v>
      </c>
      <c r="E155" s="6">
        <f t="shared" si="13"/>
        <v>591522.64664077177</v>
      </c>
      <c r="F155" s="6">
        <f t="shared" si="12"/>
        <v>139238622.77658528</v>
      </c>
    </row>
    <row r="156" spans="2:6" x14ac:dyDescent="0.3">
      <c r="B156">
        <v>148</v>
      </c>
      <c r="C156" s="5">
        <f t="shared" si="10"/>
        <v>732631.06457972154</v>
      </c>
      <c r="D156" s="16">
        <f t="shared" si="11"/>
        <v>1327266.1225449489</v>
      </c>
      <c r="E156" s="6">
        <f t="shared" si="13"/>
        <v>594635.0579652274</v>
      </c>
      <c r="F156" s="6">
        <f t="shared" si="12"/>
        <v>138643987.71862006</v>
      </c>
    </row>
    <row r="157" spans="2:6" x14ac:dyDescent="0.3">
      <c r="B157">
        <v>149</v>
      </c>
      <c r="C157" s="5">
        <f t="shared" si="10"/>
        <v>729502.27669841296</v>
      </c>
      <c r="D157" s="16">
        <f t="shared" si="11"/>
        <v>1327266.1225449489</v>
      </c>
      <c r="E157" s="6">
        <f t="shared" si="13"/>
        <v>597763.84584653599</v>
      </c>
      <c r="F157" s="6">
        <f t="shared" si="12"/>
        <v>138046223.87277353</v>
      </c>
    </row>
    <row r="158" spans="2:6" x14ac:dyDescent="0.3">
      <c r="B158">
        <v>150</v>
      </c>
      <c r="C158" s="5">
        <f t="shared" si="10"/>
        <v>726357.02609181579</v>
      </c>
      <c r="D158" s="16">
        <f t="shared" si="11"/>
        <v>1327266.1225449489</v>
      </c>
      <c r="E158" s="6">
        <f t="shared" si="13"/>
        <v>600909.09645313316</v>
      </c>
      <c r="F158" s="6">
        <f t="shared" si="12"/>
        <v>137445314.7763204</v>
      </c>
    </row>
    <row r="159" spans="2:6" x14ac:dyDescent="0.3">
      <c r="B159">
        <v>151</v>
      </c>
      <c r="C159" s="5">
        <f t="shared" si="10"/>
        <v>723195.22613810259</v>
      </c>
      <c r="D159" s="16">
        <f t="shared" si="11"/>
        <v>1327266.1225449489</v>
      </c>
      <c r="E159" s="6">
        <f t="shared" si="13"/>
        <v>604070.89640684635</v>
      </c>
      <c r="F159" s="6">
        <f t="shared" si="12"/>
        <v>136841243.87991354</v>
      </c>
    </row>
    <row r="160" spans="2:6" x14ac:dyDescent="0.3">
      <c r="B160">
        <v>152</v>
      </c>
      <c r="C160" s="5">
        <f t="shared" si="10"/>
        <v>720016.78975966829</v>
      </c>
      <c r="D160" s="16">
        <f t="shared" si="11"/>
        <v>1327266.1225449489</v>
      </c>
      <c r="E160" s="6">
        <f t="shared" si="13"/>
        <v>607249.33278528065</v>
      </c>
      <c r="F160" s="6">
        <f t="shared" si="12"/>
        <v>136233994.54712826</v>
      </c>
    </row>
    <row r="161" spans="2:6" x14ac:dyDescent="0.3">
      <c r="B161">
        <v>153</v>
      </c>
      <c r="C161" s="5">
        <f t="shared" si="10"/>
        <v>716821.62942073238</v>
      </c>
      <c r="D161" s="16">
        <f t="shared" si="11"/>
        <v>1327266.1225449489</v>
      </c>
      <c r="E161" s="6">
        <f t="shared" si="13"/>
        <v>610444.49312421656</v>
      </c>
      <c r="F161" s="6">
        <f t="shared" si="12"/>
        <v>135623550.05400404</v>
      </c>
    </row>
    <row r="162" spans="2:6" x14ac:dyDescent="0.3">
      <c r="B162">
        <v>154</v>
      </c>
      <c r="C162" s="5">
        <f t="shared" si="10"/>
        <v>713609.6571249275</v>
      </c>
      <c r="D162" s="16">
        <f t="shared" si="11"/>
        <v>1327266.1225449489</v>
      </c>
      <c r="E162" s="6">
        <f t="shared" si="13"/>
        <v>613656.46542002144</v>
      </c>
      <c r="F162" s="6">
        <f t="shared" si="12"/>
        <v>135009893.58858404</v>
      </c>
    </row>
    <row r="163" spans="2:6" x14ac:dyDescent="0.3">
      <c r="B163">
        <v>155</v>
      </c>
      <c r="C163" s="5">
        <f t="shared" si="10"/>
        <v>710380.78441287635</v>
      </c>
      <c r="D163" s="16">
        <f t="shared" si="11"/>
        <v>1327266.1225449489</v>
      </c>
      <c r="E163" s="6">
        <f t="shared" si="13"/>
        <v>616885.33813207259</v>
      </c>
      <c r="F163" s="6">
        <f t="shared" si="12"/>
        <v>134393008.25045195</v>
      </c>
    </row>
    <row r="164" spans="2:6" x14ac:dyDescent="0.3">
      <c r="B164">
        <v>156</v>
      </c>
      <c r="C164" s="5">
        <f t="shared" si="10"/>
        <v>707134.9223597555</v>
      </c>
      <c r="D164" s="16">
        <f t="shared" si="11"/>
        <v>1327266.1225449489</v>
      </c>
      <c r="E164" s="6">
        <f t="shared" si="13"/>
        <v>620131.20018519345</v>
      </c>
      <c r="F164" s="6">
        <f t="shared" si="12"/>
        <v>133772877.05026676</v>
      </c>
    </row>
    <row r="165" spans="2:6" x14ac:dyDescent="0.3">
      <c r="B165">
        <v>157</v>
      </c>
      <c r="C165" s="5">
        <f t="shared" si="10"/>
        <v>703871.98157284642</v>
      </c>
      <c r="D165" s="16">
        <f t="shared" si="11"/>
        <v>1327266.1225449489</v>
      </c>
      <c r="E165" s="6">
        <f t="shared" si="13"/>
        <v>623394.14097210253</v>
      </c>
      <c r="F165" s="6">
        <f t="shared" si="12"/>
        <v>133149482.90929465</v>
      </c>
    </row>
    <row r="166" spans="2:6" x14ac:dyDescent="0.3">
      <c r="B166">
        <v>158</v>
      </c>
      <c r="C166" s="5">
        <f t="shared" si="10"/>
        <v>700591.87218907301</v>
      </c>
      <c r="D166" s="16">
        <f t="shared" si="11"/>
        <v>1327266.1225449489</v>
      </c>
      <c r="E166" s="6">
        <f t="shared" si="13"/>
        <v>626674.25035587593</v>
      </c>
      <c r="F166" s="6">
        <f t="shared" si="12"/>
        <v>132522808.65893878</v>
      </c>
    </row>
    <row r="167" spans="2:6" x14ac:dyDescent="0.3">
      <c r="B167">
        <v>159</v>
      </c>
      <c r="C167" s="5">
        <f t="shared" si="10"/>
        <v>697294.50387252762</v>
      </c>
      <c r="D167" s="16">
        <f t="shared" si="11"/>
        <v>1327266.1225449489</v>
      </c>
      <c r="E167" s="6">
        <f t="shared" si="13"/>
        <v>629971.61867242132</v>
      </c>
      <c r="F167" s="6">
        <f t="shared" si="12"/>
        <v>131892837.04026636</v>
      </c>
    </row>
    <row r="168" spans="2:6" x14ac:dyDescent="0.3">
      <c r="B168">
        <v>160</v>
      </c>
      <c r="C168" s="5">
        <f t="shared" si="10"/>
        <v>693979.78581198247</v>
      </c>
      <c r="D168" s="16">
        <f t="shared" si="11"/>
        <v>1327266.1225449489</v>
      </c>
      <c r="E168" s="6">
        <f t="shared" si="13"/>
        <v>633286.33673296648</v>
      </c>
      <c r="F168" s="6">
        <f t="shared" si="12"/>
        <v>131259550.7035334</v>
      </c>
    </row>
    <row r="169" spans="2:6" x14ac:dyDescent="0.3">
      <c r="B169">
        <v>161</v>
      </c>
      <c r="C169" s="5">
        <f t="shared" si="10"/>
        <v>690647.62671838875</v>
      </c>
      <c r="D169" s="16">
        <f t="shared" si="11"/>
        <v>1327266.1225449489</v>
      </c>
      <c r="E169" s="6">
        <f t="shared" si="13"/>
        <v>636618.49582656019</v>
      </c>
      <c r="F169" s="6">
        <f t="shared" si="12"/>
        <v>130622932.20770684</v>
      </c>
    </row>
    <row r="170" spans="2:6" x14ac:dyDescent="0.3">
      <c r="B170">
        <v>162</v>
      </c>
      <c r="C170" s="5">
        <f t="shared" si="10"/>
        <v>687297.93482236273</v>
      </c>
      <c r="D170" s="16">
        <f t="shared" si="11"/>
        <v>1327266.1225449489</v>
      </c>
      <c r="E170" s="6">
        <f t="shared" si="13"/>
        <v>639968.18772258621</v>
      </c>
      <c r="F170" s="6">
        <f t="shared" si="12"/>
        <v>129982964.01998425</v>
      </c>
    </row>
    <row r="171" spans="2:6" x14ac:dyDescent="0.3">
      <c r="B171">
        <v>163</v>
      </c>
      <c r="C171" s="5">
        <f t="shared" si="10"/>
        <v>683930.61787165818</v>
      </c>
      <c r="D171" s="16">
        <f t="shared" si="11"/>
        <v>1327266.1225449489</v>
      </c>
      <c r="E171" s="6">
        <f t="shared" si="13"/>
        <v>643335.50467329076</v>
      </c>
      <c r="F171" s="6">
        <f t="shared" si="12"/>
        <v>129339628.51531096</v>
      </c>
    </row>
    <row r="172" spans="2:6" x14ac:dyDescent="0.3">
      <c r="B172">
        <v>164</v>
      </c>
      <c r="C172" s="5">
        <f t="shared" si="10"/>
        <v>680545.58312862576</v>
      </c>
      <c r="D172" s="16">
        <f t="shared" si="11"/>
        <v>1327266.1225449489</v>
      </c>
      <c r="E172" s="6">
        <f t="shared" si="13"/>
        <v>646720.53941632318</v>
      </c>
      <c r="F172" s="6">
        <f t="shared" si="12"/>
        <v>128692907.97589463</v>
      </c>
    </row>
    <row r="173" spans="2:6" x14ac:dyDescent="0.3">
      <c r="B173">
        <v>165</v>
      </c>
      <c r="C173" s="5">
        <f t="shared" si="10"/>
        <v>677142.73736765899</v>
      </c>
      <c r="D173" s="16">
        <f t="shared" si="11"/>
        <v>1327266.1225449489</v>
      </c>
      <c r="E173" s="6">
        <f t="shared" si="13"/>
        <v>650123.38517728995</v>
      </c>
      <c r="F173" s="6">
        <f t="shared" si="12"/>
        <v>128042784.59071735</v>
      </c>
    </row>
    <row r="174" spans="2:6" x14ac:dyDescent="0.3">
      <c r="B174">
        <v>166</v>
      </c>
      <c r="C174" s="5">
        <f t="shared" si="10"/>
        <v>673721.98687262682</v>
      </c>
      <c r="D174" s="16">
        <f t="shared" si="11"/>
        <v>1327266.1225449489</v>
      </c>
      <c r="E174" s="6">
        <f t="shared" si="13"/>
        <v>653544.13567232213</v>
      </c>
      <c r="F174" s="6">
        <f t="shared" si="12"/>
        <v>127389240.45504503</v>
      </c>
    </row>
    <row r="175" spans="2:6" x14ac:dyDescent="0.3">
      <c r="B175">
        <v>167</v>
      </c>
      <c r="C175" s="5">
        <f t="shared" si="10"/>
        <v>670283.23743429233</v>
      </c>
      <c r="D175" s="16">
        <f t="shared" si="11"/>
        <v>1327266.1225449489</v>
      </c>
      <c r="E175" s="6">
        <f t="shared" si="13"/>
        <v>656982.88511065661</v>
      </c>
      <c r="F175" s="6">
        <f t="shared" si="12"/>
        <v>126732257.56993437</v>
      </c>
    </row>
    <row r="176" spans="2:6" x14ac:dyDescent="0.3">
      <c r="B176">
        <v>168</v>
      </c>
      <c r="C176" s="5">
        <f t="shared" si="10"/>
        <v>666826.39434771868</v>
      </c>
      <c r="D176" s="16">
        <f t="shared" si="11"/>
        <v>1327266.1225449489</v>
      </c>
      <c r="E176" s="6">
        <f t="shared" si="13"/>
        <v>660439.72819723026</v>
      </c>
      <c r="F176" s="6">
        <f t="shared" si="12"/>
        <v>126071817.84173714</v>
      </c>
    </row>
    <row r="177" spans="2:6" x14ac:dyDescent="0.3">
      <c r="B177">
        <v>169</v>
      </c>
      <c r="C177" s="5">
        <f t="shared" si="10"/>
        <v>663351.36240966036</v>
      </c>
      <c r="D177" s="16">
        <f t="shared" si="11"/>
        <v>1327266.1225449489</v>
      </c>
      <c r="E177" s="6">
        <f t="shared" si="13"/>
        <v>663914.76013528858</v>
      </c>
      <c r="F177" s="6">
        <f t="shared" si="12"/>
        <v>125407903.08160184</v>
      </c>
    </row>
    <row r="178" spans="2:6" x14ac:dyDescent="0.3">
      <c r="B178">
        <v>170</v>
      </c>
      <c r="C178" s="5">
        <f t="shared" si="10"/>
        <v>659858.04591594182</v>
      </c>
      <c r="D178" s="16">
        <f t="shared" si="11"/>
        <v>1327266.1225449489</v>
      </c>
      <c r="E178" s="6">
        <f t="shared" si="13"/>
        <v>667408.07662900712</v>
      </c>
      <c r="F178" s="6">
        <f t="shared" si="12"/>
        <v>124740495.00497283</v>
      </c>
    </row>
    <row r="179" spans="2:6" x14ac:dyDescent="0.3">
      <c r="B179">
        <v>171</v>
      </c>
      <c r="C179" s="5">
        <f t="shared" si="10"/>
        <v>656346.34865882096</v>
      </c>
      <c r="D179" s="16">
        <f t="shared" si="11"/>
        <v>1327266.1225449489</v>
      </c>
      <c r="E179" s="6">
        <f t="shared" si="13"/>
        <v>670919.77388612798</v>
      </c>
      <c r="F179" s="6">
        <f t="shared" si="12"/>
        <v>124069575.2310867</v>
      </c>
    </row>
    <row r="180" spans="2:6" x14ac:dyDescent="0.3">
      <c r="B180">
        <v>172</v>
      </c>
      <c r="C180" s="5">
        <f t="shared" si="10"/>
        <v>652816.17392434028</v>
      </c>
      <c r="D180" s="16">
        <f t="shared" si="11"/>
        <v>1327266.1225449489</v>
      </c>
      <c r="E180" s="6">
        <f t="shared" si="13"/>
        <v>674449.94862060866</v>
      </c>
      <c r="F180" s="6">
        <f t="shared" si="12"/>
        <v>123395125.2824661</v>
      </c>
    </row>
    <row r="181" spans="2:6" x14ac:dyDescent="0.3">
      <c r="B181">
        <v>173</v>
      </c>
      <c r="C181" s="5">
        <f t="shared" si="10"/>
        <v>649267.42448966298</v>
      </c>
      <c r="D181" s="16">
        <f t="shared" si="11"/>
        <v>1327266.1225449489</v>
      </c>
      <c r="E181" s="6">
        <f t="shared" si="13"/>
        <v>677998.69805528596</v>
      </c>
      <c r="F181" s="6">
        <f t="shared" si="12"/>
        <v>122717126.58441082</v>
      </c>
    </row>
    <row r="182" spans="2:6" x14ac:dyDescent="0.3">
      <c r="B182">
        <v>174</v>
      </c>
      <c r="C182" s="5">
        <f t="shared" si="10"/>
        <v>645700.00262039527</v>
      </c>
      <c r="D182" s="16">
        <f t="shared" si="11"/>
        <v>1327266.1225449489</v>
      </c>
      <c r="E182" s="6">
        <f t="shared" si="13"/>
        <v>681566.11992455367</v>
      </c>
      <c r="F182" s="6">
        <f t="shared" si="12"/>
        <v>122035560.46448626</v>
      </c>
    </row>
    <row r="183" spans="2:6" x14ac:dyDescent="0.3">
      <c r="B183">
        <v>175</v>
      </c>
      <c r="C183" s="5">
        <f t="shared" si="10"/>
        <v>642113.81006789498</v>
      </c>
      <c r="D183" s="16">
        <f t="shared" si="11"/>
        <v>1327266.1225449489</v>
      </c>
      <c r="E183" s="6">
        <f t="shared" si="13"/>
        <v>685152.31247705396</v>
      </c>
      <c r="F183" s="6">
        <f t="shared" si="12"/>
        <v>121350408.1520092</v>
      </c>
    </row>
    <row r="184" spans="2:6" x14ac:dyDescent="0.3">
      <c r="B184">
        <v>176</v>
      </c>
      <c r="C184" s="5">
        <f t="shared" si="10"/>
        <v>638508.74806656537</v>
      </c>
      <c r="D184" s="16">
        <f t="shared" si="11"/>
        <v>1327266.1225449489</v>
      </c>
      <c r="E184" s="6">
        <f t="shared" si="13"/>
        <v>688757.37447838357</v>
      </c>
      <c r="F184" s="6">
        <f t="shared" si="12"/>
        <v>120661650.77753082</v>
      </c>
    </row>
    <row r="185" spans="2:6" x14ac:dyDescent="0.3">
      <c r="B185">
        <v>177</v>
      </c>
      <c r="C185" s="5">
        <f t="shared" si="10"/>
        <v>634884.71733113588</v>
      </c>
      <c r="D185" s="16">
        <f t="shared" si="11"/>
        <v>1327266.1225449489</v>
      </c>
      <c r="E185" s="6">
        <f t="shared" si="13"/>
        <v>692381.40521381306</v>
      </c>
      <c r="F185" s="6">
        <f t="shared" si="12"/>
        <v>119969269.372317</v>
      </c>
    </row>
    <row r="186" spans="2:6" x14ac:dyDescent="0.3">
      <c r="B186">
        <v>178</v>
      </c>
      <c r="C186" s="5">
        <f t="shared" si="10"/>
        <v>631241.6180539265</v>
      </c>
      <c r="D186" s="16">
        <f t="shared" si="11"/>
        <v>1327266.1225449489</v>
      </c>
      <c r="E186" s="6">
        <f t="shared" si="13"/>
        <v>696024.50449102244</v>
      </c>
      <c r="F186" s="6">
        <f t="shared" si="12"/>
        <v>119273244.86782598</v>
      </c>
    </row>
    <row r="187" spans="2:6" x14ac:dyDescent="0.3">
      <c r="B187">
        <v>179</v>
      </c>
      <c r="C187" s="5">
        <f t="shared" si="10"/>
        <v>627579.34990210028</v>
      </c>
      <c r="D187" s="16">
        <f t="shared" si="11"/>
        <v>1327266.1225449489</v>
      </c>
      <c r="E187" s="6">
        <f t="shared" si="13"/>
        <v>699686.77264284866</v>
      </c>
      <c r="F187" s="6">
        <f t="shared" si="12"/>
        <v>118573558.09518313</v>
      </c>
    </row>
    <row r="188" spans="2:6" x14ac:dyDescent="0.3">
      <c r="B188">
        <v>180</v>
      </c>
      <c r="C188" s="5">
        <f t="shared" si="10"/>
        <v>623897.81201489933</v>
      </c>
      <c r="D188" s="16">
        <f t="shared" si="11"/>
        <v>1327266.1225449489</v>
      </c>
      <c r="E188" s="6">
        <f t="shared" si="13"/>
        <v>703368.31053004961</v>
      </c>
      <c r="F188" s="6">
        <f t="shared" si="12"/>
        <v>117870189.78465308</v>
      </c>
    </row>
    <row r="189" spans="2:6" x14ac:dyDescent="0.3">
      <c r="B189">
        <v>181</v>
      </c>
      <c r="C189" s="5">
        <f t="shared" si="10"/>
        <v>620196.90300086734</v>
      </c>
      <c r="D189" s="16">
        <f t="shared" si="11"/>
        <v>1327266.1225449489</v>
      </c>
      <c r="E189" s="6">
        <f t="shared" si="13"/>
        <v>707069.2195440816</v>
      </c>
      <c r="F189" s="6">
        <f t="shared" si="12"/>
        <v>117163120.565109</v>
      </c>
    </row>
    <row r="190" spans="2:6" x14ac:dyDescent="0.3">
      <c r="B190">
        <v>182</v>
      </c>
      <c r="C190" s="5">
        <f t="shared" si="10"/>
        <v>616476.52093505696</v>
      </c>
      <c r="D190" s="16">
        <f t="shared" si="11"/>
        <v>1327266.1225449489</v>
      </c>
      <c r="E190" s="6">
        <f t="shared" si="13"/>
        <v>710789.60160989198</v>
      </c>
      <c r="F190" s="6">
        <f t="shared" si="12"/>
        <v>116452330.96349911</v>
      </c>
    </row>
    <row r="191" spans="2:6" x14ac:dyDescent="0.3">
      <c r="B191">
        <v>183</v>
      </c>
      <c r="C191" s="5">
        <f t="shared" si="10"/>
        <v>612736.5633562234</v>
      </c>
      <c r="D191" s="16">
        <f t="shared" si="11"/>
        <v>1327266.1225449489</v>
      </c>
      <c r="E191" s="6">
        <f t="shared" si="13"/>
        <v>714529.55918872554</v>
      </c>
      <c r="F191" s="6">
        <f t="shared" si="12"/>
        <v>115737801.40431039</v>
      </c>
    </row>
    <row r="192" spans="2:6" x14ac:dyDescent="0.3">
      <c r="B192">
        <v>184</v>
      </c>
      <c r="C192" s="5">
        <f t="shared" si="10"/>
        <v>608976.92726400145</v>
      </c>
      <c r="D192" s="16">
        <f t="shared" si="11"/>
        <v>1327266.1225449489</v>
      </c>
      <c r="E192" s="6">
        <f t="shared" si="13"/>
        <v>718289.19528094749</v>
      </c>
      <c r="F192" s="6">
        <f t="shared" si="12"/>
        <v>115019512.20902944</v>
      </c>
    </row>
    <row r="193" spans="2:6" x14ac:dyDescent="0.3">
      <c r="B193">
        <v>185</v>
      </c>
      <c r="C193" s="5">
        <f t="shared" si="10"/>
        <v>605197.50911607011</v>
      </c>
      <c r="D193" s="16">
        <f t="shared" si="11"/>
        <v>1327266.1225449489</v>
      </c>
      <c r="E193" s="6">
        <f t="shared" si="13"/>
        <v>722068.61342887883</v>
      </c>
      <c r="F193" s="6">
        <f t="shared" si="12"/>
        <v>114297443.59560056</v>
      </c>
    </row>
    <row r="194" spans="2:6" x14ac:dyDescent="0.3">
      <c r="B194">
        <v>186</v>
      </c>
      <c r="C194" s="5">
        <f t="shared" si="10"/>
        <v>601398.20482530002</v>
      </c>
      <c r="D194" s="16">
        <f t="shared" si="11"/>
        <v>1327266.1225449489</v>
      </c>
      <c r="E194" s="6">
        <f t="shared" si="13"/>
        <v>725867.91771964892</v>
      </c>
      <c r="F194" s="6">
        <f t="shared" si="12"/>
        <v>113571575.67788091</v>
      </c>
    </row>
    <row r="195" spans="2:6" x14ac:dyDescent="0.3">
      <c r="B195">
        <v>187</v>
      </c>
      <c r="C195" s="5">
        <f t="shared" si="10"/>
        <v>597578.90975688712</v>
      </c>
      <c r="D195" s="16">
        <f t="shared" si="11"/>
        <v>1327266.1225449489</v>
      </c>
      <c r="E195" s="6">
        <f t="shared" si="13"/>
        <v>729687.21278806182</v>
      </c>
      <c r="F195" s="6">
        <f t="shared" si="12"/>
        <v>112841888.46509285</v>
      </c>
    </row>
    <row r="196" spans="2:6" x14ac:dyDescent="0.3">
      <c r="B196">
        <v>188</v>
      </c>
      <c r="C196" s="5">
        <f t="shared" si="10"/>
        <v>593739.51872547122</v>
      </c>
      <c r="D196" s="16">
        <f t="shared" si="11"/>
        <v>1327266.1225449489</v>
      </c>
      <c r="E196" s="6">
        <f t="shared" si="13"/>
        <v>733526.60381947772</v>
      </c>
      <c r="F196" s="6">
        <f t="shared" si="12"/>
        <v>112108361.86127338</v>
      </c>
    </row>
    <row r="197" spans="2:6" x14ac:dyDescent="0.3">
      <c r="B197">
        <v>189</v>
      </c>
      <c r="C197" s="5">
        <f t="shared" si="10"/>
        <v>589879.9259922388</v>
      </c>
      <c r="D197" s="16">
        <f t="shared" si="11"/>
        <v>1327266.1225449489</v>
      </c>
      <c r="E197" s="6">
        <f t="shared" si="13"/>
        <v>737386.19655271014</v>
      </c>
      <c r="F197" s="6">
        <f t="shared" si="12"/>
        <v>111370975.66472067</v>
      </c>
    </row>
    <row r="198" spans="2:6" x14ac:dyDescent="0.3">
      <c r="B198">
        <v>190</v>
      </c>
      <c r="C198" s="5">
        <f t="shared" si="10"/>
        <v>586000.02526201087</v>
      </c>
      <c r="D198" s="16">
        <f t="shared" si="11"/>
        <v>1327266.1225449489</v>
      </c>
      <c r="E198" s="6">
        <f t="shared" si="13"/>
        <v>741266.09728293808</v>
      </c>
      <c r="F198" s="6">
        <f t="shared" si="12"/>
        <v>110629709.56743774</v>
      </c>
    </row>
    <row r="199" spans="2:6" x14ac:dyDescent="0.3">
      <c r="B199">
        <v>191</v>
      </c>
      <c r="C199" s="5">
        <f t="shared" si="10"/>
        <v>582099.70968031592</v>
      </c>
      <c r="D199" s="16">
        <f t="shared" si="11"/>
        <v>1327266.1225449489</v>
      </c>
      <c r="E199" s="6">
        <f t="shared" si="13"/>
        <v>745166.41286463302</v>
      </c>
      <c r="F199" s="6">
        <f t="shared" si="12"/>
        <v>109884543.1545731</v>
      </c>
    </row>
    <row r="200" spans="2:6" x14ac:dyDescent="0.3">
      <c r="B200">
        <v>192</v>
      </c>
      <c r="C200" s="5">
        <f t="shared" si="10"/>
        <v>578178.87183044688</v>
      </c>
      <c r="D200" s="16">
        <f t="shared" si="11"/>
        <v>1327266.1225449489</v>
      </c>
      <c r="E200" s="6">
        <f t="shared" si="13"/>
        <v>749087.25071450206</v>
      </c>
      <c r="F200" s="6">
        <f t="shared" si="12"/>
        <v>109135455.9038586</v>
      </c>
    </row>
    <row r="201" spans="2:6" x14ac:dyDescent="0.3">
      <c r="B201">
        <v>193</v>
      </c>
      <c r="C201" s="5">
        <f t="shared" si="10"/>
        <v>574237.40373050282</v>
      </c>
      <c r="D201" s="16">
        <f t="shared" si="11"/>
        <v>1327266.1225449489</v>
      </c>
      <c r="E201" s="6">
        <f t="shared" si="13"/>
        <v>753028.71881444613</v>
      </c>
      <c r="F201" s="6">
        <f t="shared" si="12"/>
        <v>108382427.18504415</v>
      </c>
    </row>
    <row r="202" spans="2:6" x14ac:dyDescent="0.3">
      <c r="B202">
        <v>194</v>
      </c>
      <c r="C202" s="5">
        <f t="shared" ref="C202:C265" si="14">F201*$D$4</f>
        <v>570275.19683041482</v>
      </c>
      <c r="D202" s="16">
        <f t="shared" ref="D202:D265" si="15">$C$5</f>
        <v>1327266.1225449489</v>
      </c>
      <c r="E202" s="6">
        <f t="shared" si="13"/>
        <v>756990.92571453413</v>
      </c>
      <c r="F202" s="6">
        <f t="shared" ref="F202:F265" si="16">F201-E202</f>
        <v>107625436.25932962</v>
      </c>
    </row>
    <row r="203" spans="2:6" x14ac:dyDescent="0.3">
      <c r="B203">
        <v>195</v>
      </c>
      <c r="C203" s="5">
        <f t="shared" si="14"/>
        <v>566292.14200895699</v>
      </c>
      <c r="D203" s="16">
        <f t="shared" si="15"/>
        <v>1327266.1225449489</v>
      </c>
      <c r="E203" s="6">
        <f t="shared" ref="E203:E266" si="17">D203-C203</f>
        <v>760973.98053599196</v>
      </c>
      <c r="F203" s="6">
        <f t="shared" si="16"/>
        <v>106864462.27879362</v>
      </c>
    </row>
    <row r="204" spans="2:6" x14ac:dyDescent="0.3">
      <c r="B204">
        <v>196</v>
      </c>
      <c r="C204" s="5">
        <f t="shared" si="14"/>
        <v>562288.12957074074</v>
      </c>
      <c r="D204" s="16">
        <f t="shared" si="15"/>
        <v>1327266.1225449489</v>
      </c>
      <c r="E204" s="6">
        <f t="shared" si="17"/>
        <v>764977.9929742082</v>
      </c>
      <c r="F204" s="6">
        <f t="shared" si="16"/>
        <v>106099484.28581941</v>
      </c>
    </row>
    <row r="205" spans="2:6" x14ac:dyDescent="0.3">
      <c r="B205">
        <v>197</v>
      </c>
      <c r="C205" s="5">
        <f t="shared" si="14"/>
        <v>558263.04924319382</v>
      </c>
      <c r="D205" s="16">
        <f t="shared" si="15"/>
        <v>1327266.1225449489</v>
      </c>
      <c r="E205" s="6">
        <f t="shared" si="17"/>
        <v>769003.07330175512</v>
      </c>
      <c r="F205" s="6">
        <f t="shared" si="16"/>
        <v>105330481.21251765</v>
      </c>
    </row>
    <row r="206" spans="2:6" x14ac:dyDescent="0.3">
      <c r="B206">
        <v>198</v>
      </c>
      <c r="C206" s="5">
        <f t="shared" si="14"/>
        <v>554216.79017352359</v>
      </c>
      <c r="D206" s="16">
        <f t="shared" si="15"/>
        <v>1327266.1225449489</v>
      </c>
      <c r="E206" s="6">
        <f t="shared" si="17"/>
        <v>773049.33237142535</v>
      </c>
      <c r="F206" s="6">
        <f t="shared" si="16"/>
        <v>104557431.88014622</v>
      </c>
    </row>
    <row r="207" spans="2:6" x14ac:dyDescent="0.3">
      <c r="B207">
        <v>199</v>
      </c>
      <c r="C207" s="5">
        <f t="shared" si="14"/>
        <v>550149.24092566385</v>
      </c>
      <c r="D207" s="16">
        <f t="shared" si="15"/>
        <v>1327266.1225449489</v>
      </c>
      <c r="E207" s="6">
        <f t="shared" si="17"/>
        <v>777116.88161928509</v>
      </c>
      <c r="F207" s="6">
        <f t="shared" si="16"/>
        <v>103780314.99852693</v>
      </c>
    </row>
    <row r="208" spans="2:6" x14ac:dyDescent="0.3">
      <c r="B208">
        <v>200</v>
      </c>
      <c r="C208" s="5">
        <f t="shared" si="14"/>
        <v>546060.28947720595</v>
      </c>
      <c r="D208" s="16">
        <f t="shared" si="15"/>
        <v>1327266.1225449489</v>
      </c>
      <c r="E208" s="6">
        <f t="shared" si="17"/>
        <v>781205.83306774299</v>
      </c>
      <c r="F208" s="6">
        <f t="shared" si="16"/>
        <v>102999109.16545919</v>
      </c>
    </row>
    <row r="209" spans="2:6" x14ac:dyDescent="0.3">
      <c r="B209">
        <v>201</v>
      </c>
      <c r="C209" s="5">
        <f t="shared" si="14"/>
        <v>541949.82321631326</v>
      </c>
      <c r="D209" s="16">
        <f t="shared" si="15"/>
        <v>1327266.1225449489</v>
      </c>
      <c r="E209" s="6">
        <f t="shared" si="17"/>
        <v>785316.29932863568</v>
      </c>
      <c r="F209" s="6">
        <f t="shared" si="16"/>
        <v>102213792.86613055</v>
      </c>
    </row>
    <row r="210" spans="2:6" x14ac:dyDescent="0.3">
      <c r="B210">
        <v>202</v>
      </c>
      <c r="C210" s="5">
        <f t="shared" si="14"/>
        <v>537817.72893862054</v>
      </c>
      <c r="D210" s="16">
        <f t="shared" si="15"/>
        <v>1327266.1225449489</v>
      </c>
      <c r="E210" s="6">
        <f t="shared" si="17"/>
        <v>789448.39360632841</v>
      </c>
      <c r="F210" s="6">
        <f t="shared" si="16"/>
        <v>101424344.47252421</v>
      </c>
    </row>
    <row r="211" spans="2:6" x14ac:dyDescent="0.3">
      <c r="B211">
        <v>203</v>
      </c>
      <c r="C211" s="5">
        <f t="shared" si="14"/>
        <v>533663.89284411538</v>
      </c>
      <c r="D211" s="16">
        <f t="shared" si="15"/>
        <v>1327266.1225449489</v>
      </c>
      <c r="E211" s="6">
        <f t="shared" si="17"/>
        <v>793602.22970083356</v>
      </c>
      <c r="F211" s="6">
        <f t="shared" si="16"/>
        <v>100630742.24282338</v>
      </c>
    </row>
    <row r="212" spans="2:6" x14ac:dyDescent="0.3">
      <c r="B212">
        <v>204</v>
      </c>
      <c r="C212" s="5">
        <f t="shared" si="14"/>
        <v>529488.20053400495</v>
      </c>
      <c r="D212" s="16">
        <f t="shared" si="15"/>
        <v>1327266.1225449489</v>
      </c>
      <c r="E212" s="6">
        <f t="shared" si="17"/>
        <v>797777.92201094399</v>
      </c>
      <c r="F212" s="6">
        <f t="shared" si="16"/>
        <v>99832964.320812434</v>
      </c>
    </row>
    <row r="213" spans="2:6" x14ac:dyDescent="0.3">
      <c r="B213">
        <v>205</v>
      </c>
      <c r="C213" s="5">
        <f t="shared" si="14"/>
        <v>525290.53700756445</v>
      </c>
      <c r="D213" s="16">
        <f t="shared" si="15"/>
        <v>1327266.1225449489</v>
      </c>
      <c r="E213" s="6">
        <f t="shared" si="17"/>
        <v>801975.5855373845</v>
      </c>
      <c r="F213" s="6">
        <f t="shared" si="16"/>
        <v>99030988.735275045</v>
      </c>
    </row>
    <row r="214" spans="2:6" x14ac:dyDescent="0.3">
      <c r="B214">
        <v>206</v>
      </c>
      <c r="C214" s="5">
        <f t="shared" si="14"/>
        <v>521070.78665897076</v>
      </c>
      <c r="D214" s="16">
        <f t="shared" si="15"/>
        <v>1327266.1225449489</v>
      </c>
      <c r="E214" s="6">
        <f t="shared" si="17"/>
        <v>806195.33588597819</v>
      </c>
      <c r="F214" s="6">
        <f t="shared" si="16"/>
        <v>98224793.399389073</v>
      </c>
    </row>
    <row r="215" spans="2:6" x14ac:dyDescent="0.3">
      <c r="B215">
        <v>207</v>
      </c>
      <c r="C215" s="5">
        <f t="shared" si="14"/>
        <v>516828.83327411819</v>
      </c>
      <c r="D215" s="16">
        <f t="shared" si="15"/>
        <v>1327266.1225449489</v>
      </c>
      <c r="E215" s="6">
        <f t="shared" si="17"/>
        <v>810437.28927083081</v>
      </c>
      <c r="F215" s="6">
        <f t="shared" si="16"/>
        <v>97414356.11011824</v>
      </c>
    </row>
    <row r="216" spans="2:6" x14ac:dyDescent="0.3">
      <c r="B216">
        <v>208</v>
      </c>
      <c r="C216" s="5">
        <f t="shared" si="14"/>
        <v>512564.56002741784</v>
      </c>
      <c r="D216" s="16">
        <f t="shared" si="15"/>
        <v>1327266.1225449489</v>
      </c>
      <c r="E216" s="6">
        <f t="shared" si="17"/>
        <v>814701.5625175311</v>
      </c>
      <c r="F216" s="6">
        <f t="shared" si="16"/>
        <v>96599654.547600716</v>
      </c>
    </row>
    <row r="217" spans="2:6" x14ac:dyDescent="0.3">
      <c r="B217">
        <v>209</v>
      </c>
      <c r="C217" s="5">
        <f t="shared" si="14"/>
        <v>508277.84947858047</v>
      </c>
      <c r="D217" s="16">
        <f t="shared" si="15"/>
        <v>1327266.1225449489</v>
      </c>
      <c r="E217" s="6">
        <f t="shared" si="17"/>
        <v>818988.27306636842</v>
      </c>
      <c r="F217" s="6">
        <f t="shared" si="16"/>
        <v>95780666.274534345</v>
      </c>
    </row>
    <row r="218" spans="2:6" x14ac:dyDescent="0.3">
      <c r="B218">
        <v>210</v>
      </c>
      <c r="C218" s="5">
        <f t="shared" si="14"/>
        <v>503968.58356938168</v>
      </c>
      <c r="D218" s="16">
        <f t="shared" si="15"/>
        <v>1327266.1225449489</v>
      </c>
      <c r="E218" s="6">
        <f t="shared" si="17"/>
        <v>823297.53897556732</v>
      </c>
      <c r="F218" s="6">
        <f t="shared" si="16"/>
        <v>94957368.735558778</v>
      </c>
    </row>
    <row r="219" spans="2:6" x14ac:dyDescent="0.3">
      <c r="B219">
        <v>211</v>
      </c>
      <c r="C219" s="5">
        <f t="shared" si="14"/>
        <v>499636.64362041111</v>
      </c>
      <c r="D219" s="16">
        <f t="shared" si="15"/>
        <v>1327266.1225449489</v>
      </c>
      <c r="E219" s="6">
        <f t="shared" si="17"/>
        <v>827629.47892453778</v>
      </c>
      <c r="F219" s="6">
        <f t="shared" si="16"/>
        <v>94129739.256634235</v>
      </c>
    </row>
    <row r="220" spans="2:6" x14ac:dyDescent="0.3">
      <c r="B220">
        <v>212</v>
      </c>
      <c r="C220" s="5">
        <f t="shared" si="14"/>
        <v>495281.9103278034</v>
      </c>
      <c r="D220" s="16">
        <f t="shared" si="15"/>
        <v>1327266.1225449489</v>
      </c>
      <c r="E220" s="6">
        <f t="shared" si="17"/>
        <v>831984.2122171456</v>
      </c>
      <c r="F220" s="6">
        <f t="shared" si="16"/>
        <v>93297755.044417083</v>
      </c>
    </row>
    <row r="221" spans="2:6" x14ac:dyDescent="0.3">
      <c r="B221">
        <v>213</v>
      </c>
      <c r="C221" s="5">
        <f t="shared" si="14"/>
        <v>490904.26375995268</v>
      </c>
      <c r="D221" s="16">
        <f t="shared" si="15"/>
        <v>1327266.1225449489</v>
      </c>
      <c r="E221" s="6">
        <f t="shared" si="17"/>
        <v>836361.85878499621</v>
      </c>
      <c r="F221" s="6">
        <f t="shared" si="16"/>
        <v>92461393.18563208</v>
      </c>
    </row>
    <row r="222" spans="2:6" x14ac:dyDescent="0.3">
      <c r="B222">
        <v>214</v>
      </c>
      <c r="C222" s="5">
        <f t="shared" si="14"/>
        <v>486503.5833542099</v>
      </c>
      <c r="D222" s="16">
        <f t="shared" si="15"/>
        <v>1327266.1225449489</v>
      </c>
      <c r="E222" s="6">
        <f t="shared" si="17"/>
        <v>840762.53919073904</v>
      </c>
      <c r="F222" s="6">
        <f t="shared" si="16"/>
        <v>91620630.64644134</v>
      </c>
    </row>
    <row r="223" spans="2:6" x14ac:dyDescent="0.3">
      <c r="B223">
        <v>215</v>
      </c>
      <c r="C223" s="5">
        <f t="shared" si="14"/>
        <v>482079.74791356199</v>
      </c>
      <c r="D223" s="16">
        <f t="shared" si="15"/>
        <v>1327266.1225449489</v>
      </c>
      <c r="E223" s="6">
        <f t="shared" si="17"/>
        <v>845186.37463138695</v>
      </c>
      <c r="F223" s="6">
        <f t="shared" si="16"/>
        <v>90775444.27180995</v>
      </c>
    </row>
    <row r="224" spans="2:6" x14ac:dyDescent="0.3">
      <c r="B224">
        <v>216</v>
      </c>
      <c r="C224" s="5">
        <f t="shared" si="14"/>
        <v>477632.6356032943</v>
      </c>
      <c r="D224" s="16">
        <f t="shared" si="15"/>
        <v>1327266.1225449489</v>
      </c>
      <c r="E224" s="6">
        <f t="shared" si="17"/>
        <v>849633.4869416547</v>
      </c>
      <c r="F224" s="6">
        <f t="shared" si="16"/>
        <v>89925810.7848683</v>
      </c>
    </row>
    <row r="225" spans="2:6" x14ac:dyDescent="0.3">
      <c r="B225">
        <v>217</v>
      </c>
      <c r="C225" s="5">
        <f t="shared" si="14"/>
        <v>473162.12394763523</v>
      </c>
      <c r="D225" s="16">
        <f t="shared" si="15"/>
        <v>1327266.1225449489</v>
      </c>
      <c r="E225" s="6">
        <f t="shared" si="17"/>
        <v>854103.99859731365</v>
      </c>
      <c r="F225" s="6">
        <f t="shared" si="16"/>
        <v>89071706.786270991</v>
      </c>
    </row>
    <row r="226" spans="2:6" x14ac:dyDescent="0.3">
      <c r="B226">
        <v>218</v>
      </c>
      <c r="C226" s="5">
        <f t="shared" si="14"/>
        <v>468668.08982638299</v>
      </c>
      <c r="D226" s="16">
        <f t="shared" si="15"/>
        <v>1327266.1225449489</v>
      </c>
      <c r="E226" s="6">
        <f t="shared" si="17"/>
        <v>858598.03271856601</v>
      </c>
      <c r="F226" s="6">
        <f t="shared" si="16"/>
        <v>88213108.753552422</v>
      </c>
    </row>
    <row r="227" spans="2:6" x14ac:dyDescent="0.3">
      <c r="B227">
        <v>219</v>
      </c>
      <c r="C227" s="5">
        <f t="shared" si="14"/>
        <v>464150.40947151498</v>
      </c>
      <c r="D227" s="16">
        <f t="shared" si="15"/>
        <v>1327266.1225449489</v>
      </c>
      <c r="E227" s="6">
        <f t="shared" si="17"/>
        <v>863115.71307343396</v>
      </c>
      <c r="F227" s="6">
        <f t="shared" si="16"/>
        <v>87349993.040478989</v>
      </c>
    </row>
    <row r="228" spans="2:6" x14ac:dyDescent="0.3">
      <c r="B228">
        <v>220</v>
      </c>
      <c r="C228" s="5">
        <f t="shared" si="14"/>
        <v>459608.95846377913</v>
      </c>
      <c r="D228" s="16">
        <f t="shared" si="15"/>
        <v>1327266.1225449489</v>
      </c>
      <c r="E228" s="6">
        <f t="shared" si="17"/>
        <v>867657.16408116976</v>
      </c>
      <c r="F228" s="6">
        <f t="shared" si="16"/>
        <v>86482335.876397818</v>
      </c>
    </row>
    <row r="229" spans="2:6" x14ac:dyDescent="0.3">
      <c r="B229">
        <v>221</v>
      </c>
      <c r="C229" s="5">
        <f t="shared" si="14"/>
        <v>455043.61172926729</v>
      </c>
      <c r="D229" s="16">
        <f t="shared" si="15"/>
        <v>1327266.1225449489</v>
      </c>
      <c r="E229" s="6">
        <f t="shared" si="17"/>
        <v>872222.51081568166</v>
      </c>
      <c r="F229" s="6">
        <f t="shared" si="16"/>
        <v>85610113.365582138</v>
      </c>
    </row>
    <row r="230" spans="2:6" x14ac:dyDescent="0.3">
      <c r="B230">
        <v>222</v>
      </c>
      <c r="C230" s="5">
        <f t="shared" si="14"/>
        <v>450454.24353597063</v>
      </c>
      <c r="D230" s="16">
        <f t="shared" si="15"/>
        <v>1327266.1225449489</v>
      </c>
      <c r="E230" s="6">
        <f t="shared" si="17"/>
        <v>876811.87900897837</v>
      </c>
      <c r="F230" s="6">
        <f t="shared" si="16"/>
        <v>84733301.48657316</v>
      </c>
    </row>
    <row r="231" spans="2:6" x14ac:dyDescent="0.3">
      <c r="B231">
        <v>223</v>
      </c>
      <c r="C231" s="5">
        <f t="shared" si="14"/>
        <v>445840.72749031696</v>
      </c>
      <c r="D231" s="16">
        <f t="shared" si="15"/>
        <v>1327266.1225449489</v>
      </c>
      <c r="E231" s="6">
        <f t="shared" si="17"/>
        <v>881425.39505463198</v>
      </c>
      <c r="F231" s="6">
        <f t="shared" si="16"/>
        <v>83851876.091518521</v>
      </c>
    </row>
    <row r="232" spans="2:6" x14ac:dyDescent="0.3">
      <c r="B232">
        <v>224</v>
      </c>
      <c r="C232" s="5">
        <f t="shared" si="14"/>
        <v>441202.93653368973</v>
      </c>
      <c r="D232" s="16">
        <f t="shared" si="15"/>
        <v>1327266.1225449489</v>
      </c>
      <c r="E232" s="6">
        <f t="shared" si="17"/>
        <v>886063.18601125921</v>
      </c>
      <c r="F232" s="6">
        <f t="shared" si="16"/>
        <v>82965812.905507267</v>
      </c>
    </row>
    <row r="233" spans="2:6" x14ac:dyDescent="0.3">
      <c r="B233">
        <v>225</v>
      </c>
      <c r="C233" s="5">
        <f t="shared" si="14"/>
        <v>436540.74293892883</v>
      </c>
      <c r="D233" s="16">
        <f t="shared" si="15"/>
        <v>1327266.1225449489</v>
      </c>
      <c r="E233" s="6">
        <f t="shared" si="17"/>
        <v>890725.37960602017</v>
      </c>
      <c r="F233" s="6">
        <f t="shared" si="16"/>
        <v>82075087.525901243</v>
      </c>
    </row>
    <row r="234" spans="2:6" x14ac:dyDescent="0.3">
      <c r="B234">
        <v>226</v>
      </c>
      <c r="C234" s="5">
        <f t="shared" si="14"/>
        <v>431854.01830681274</v>
      </c>
      <c r="D234" s="16">
        <f t="shared" si="15"/>
        <v>1327266.1225449489</v>
      </c>
      <c r="E234" s="6">
        <f t="shared" si="17"/>
        <v>895412.10423813621</v>
      </c>
      <c r="F234" s="6">
        <f t="shared" si="16"/>
        <v>81179675.421663105</v>
      </c>
    </row>
    <row r="235" spans="2:6" x14ac:dyDescent="0.3">
      <c r="B235">
        <v>227</v>
      </c>
      <c r="C235" s="5">
        <f t="shared" si="14"/>
        <v>427142.63356252277</v>
      </c>
      <c r="D235" s="16">
        <f t="shared" si="15"/>
        <v>1327266.1225449489</v>
      </c>
      <c r="E235" s="6">
        <f t="shared" si="17"/>
        <v>900123.48898242624</v>
      </c>
      <c r="F235" s="6">
        <f t="shared" si="16"/>
        <v>80279551.932680681</v>
      </c>
    </row>
    <row r="236" spans="2:6" x14ac:dyDescent="0.3">
      <c r="B236">
        <v>228</v>
      </c>
      <c r="C236" s="5">
        <f t="shared" si="14"/>
        <v>422406.45895208768</v>
      </c>
      <c r="D236" s="16">
        <f t="shared" si="15"/>
        <v>1327266.1225449489</v>
      </c>
      <c r="E236" s="6">
        <f t="shared" si="17"/>
        <v>904859.66359286127</v>
      </c>
      <c r="F236" s="6">
        <f t="shared" si="16"/>
        <v>79374692.269087821</v>
      </c>
    </row>
    <row r="237" spans="2:6" x14ac:dyDescent="0.3">
      <c r="B237">
        <v>229</v>
      </c>
      <c r="C237" s="5">
        <f t="shared" si="14"/>
        <v>417645.36403881077</v>
      </c>
      <c r="D237" s="16">
        <f t="shared" si="15"/>
        <v>1327266.1225449489</v>
      </c>
      <c r="E237" s="6">
        <f t="shared" si="17"/>
        <v>909620.75850613811</v>
      </c>
      <c r="F237" s="6">
        <f t="shared" si="16"/>
        <v>78465071.510581687</v>
      </c>
    </row>
    <row r="238" spans="2:6" x14ac:dyDescent="0.3">
      <c r="B238">
        <v>230</v>
      </c>
      <c r="C238" s="5">
        <f t="shared" si="14"/>
        <v>412859.2176996771</v>
      </c>
      <c r="D238" s="16">
        <f t="shared" si="15"/>
        <v>1327266.1225449489</v>
      </c>
      <c r="E238" s="6">
        <f t="shared" si="17"/>
        <v>914406.90484527184</v>
      </c>
      <c r="F238" s="6">
        <f t="shared" si="16"/>
        <v>77550664.60573642</v>
      </c>
    </row>
    <row r="239" spans="2:6" x14ac:dyDescent="0.3">
      <c r="B239">
        <v>231</v>
      </c>
      <c r="C239" s="5">
        <f t="shared" si="14"/>
        <v>408047.8881217427</v>
      </c>
      <c r="D239" s="16">
        <f t="shared" si="15"/>
        <v>1327266.1225449489</v>
      </c>
      <c r="E239" s="6">
        <f t="shared" si="17"/>
        <v>919218.23442320619</v>
      </c>
      <c r="F239" s="6">
        <f t="shared" si="16"/>
        <v>76631446.371313214</v>
      </c>
    </row>
    <row r="240" spans="2:6" x14ac:dyDescent="0.3">
      <c r="B240">
        <v>232</v>
      </c>
      <c r="C240" s="5">
        <f t="shared" si="14"/>
        <v>403211.24279850407</v>
      </c>
      <c r="D240" s="16">
        <f t="shared" si="15"/>
        <v>1327266.1225449489</v>
      </c>
      <c r="E240" s="6">
        <f t="shared" si="17"/>
        <v>924054.87974644487</v>
      </c>
      <c r="F240" s="6">
        <f t="shared" si="16"/>
        <v>75707391.491566762</v>
      </c>
    </row>
    <row r="241" spans="2:6" x14ac:dyDescent="0.3">
      <c r="B241">
        <v>233</v>
      </c>
      <c r="C241" s="5">
        <f t="shared" si="14"/>
        <v>398349.14852624893</v>
      </c>
      <c r="D241" s="16">
        <f t="shared" si="15"/>
        <v>1327266.1225449489</v>
      </c>
      <c r="E241" s="6">
        <f t="shared" si="17"/>
        <v>928916.97401869996</v>
      </c>
      <c r="F241" s="6">
        <f t="shared" si="16"/>
        <v>74778474.517548069</v>
      </c>
    </row>
    <row r="242" spans="2:6" x14ac:dyDescent="0.3">
      <c r="B242">
        <v>234</v>
      </c>
      <c r="C242" s="5">
        <f t="shared" si="14"/>
        <v>393461.47140038799</v>
      </c>
      <c r="D242" s="16">
        <f t="shared" si="15"/>
        <v>1327266.1225449489</v>
      </c>
      <c r="E242" s="6">
        <f t="shared" si="17"/>
        <v>933804.65114456089</v>
      </c>
      <c r="F242" s="6">
        <f t="shared" si="16"/>
        <v>73844669.866403505</v>
      </c>
    </row>
    <row r="243" spans="2:6" x14ac:dyDescent="0.3">
      <c r="B243">
        <v>235</v>
      </c>
      <c r="C243" s="5">
        <f t="shared" si="14"/>
        <v>388548.07681176683</v>
      </c>
      <c r="D243" s="16">
        <f t="shared" si="15"/>
        <v>1327266.1225449489</v>
      </c>
      <c r="E243" s="6">
        <f t="shared" si="17"/>
        <v>938718.04573318211</v>
      </c>
      <c r="F243" s="6">
        <f t="shared" si="16"/>
        <v>72905951.820670322</v>
      </c>
    </row>
    <row r="244" spans="2:6" x14ac:dyDescent="0.3">
      <c r="B244">
        <v>236</v>
      </c>
      <c r="C244" s="5">
        <f t="shared" si="14"/>
        <v>383608.82944295887</v>
      </c>
      <c r="D244" s="16">
        <f t="shared" si="15"/>
        <v>1327266.1225449489</v>
      </c>
      <c r="E244" s="6">
        <f t="shared" si="17"/>
        <v>943657.29310199013</v>
      </c>
      <c r="F244" s="6">
        <f t="shared" si="16"/>
        <v>71962294.527568325</v>
      </c>
    </row>
    <row r="245" spans="2:6" x14ac:dyDescent="0.3">
      <c r="B245">
        <v>237</v>
      </c>
      <c r="C245" s="5">
        <f t="shared" si="14"/>
        <v>378643.59326453845</v>
      </c>
      <c r="D245" s="16">
        <f t="shared" si="15"/>
        <v>1327266.1225449489</v>
      </c>
      <c r="E245" s="6">
        <f t="shared" si="17"/>
        <v>948622.5292804105</v>
      </c>
      <c r="F245" s="6">
        <f t="shared" si="16"/>
        <v>71013671.998287916</v>
      </c>
    </row>
    <row r="246" spans="2:6" x14ac:dyDescent="0.3">
      <c r="B246">
        <v>238</v>
      </c>
      <c r="C246" s="5">
        <f t="shared" si="14"/>
        <v>373652.23153133487</v>
      </c>
      <c r="D246" s="16">
        <f t="shared" si="15"/>
        <v>1327266.1225449489</v>
      </c>
      <c r="E246" s="6">
        <f t="shared" si="17"/>
        <v>953613.89101361413</v>
      </c>
      <c r="F246" s="6">
        <f t="shared" si="16"/>
        <v>70060058.107274309</v>
      </c>
    </row>
    <row r="247" spans="2:6" x14ac:dyDescent="0.3">
      <c r="B247">
        <v>239</v>
      </c>
      <c r="C247" s="5">
        <f t="shared" si="14"/>
        <v>368634.60677866609</v>
      </c>
      <c r="D247" s="16">
        <f t="shared" si="15"/>
        <v>1327266.1225449489</v>
      </c>
      <c r="E247" s="6">
        <f t="shared" si="17"/>
        <v>958631.5157662828</v>
      </c>
      <c r="F247" s="6">
        <f t="shared" si="16"/>
        <v>69101426.591508031</v>
      </c>
    </row>
    <row r="248" spans="2:6" x14ac:dyDescent="0.3">
      <c r="B248">
        <v>240</v>
      </c>
      <c r="C248" s="5">
        <f t="shared" si="14"/>
        <v>363590.58081855276</v>
      </c>
      <c r="D248" s="16">
        <f t="shared" si="15"/>
        <v>1327266.1225449489</v>
      </c>
      <c r="E248" s="6">
        <f t="shared" si="17"/>
        <v>963675.54172639619</v>
      </c>
      <c r="F248" s="6">
        <f t="shared" si="16"/>
        <v>68137751.049781635</v>
      </c>
    </row>
    <row r="249" spans="2:6" x14ac:dyDescent="0.3">
      <c r="B249">
        <v>241</v>
      </c>
      <c r="C249" s="5">
        <f t="shared" si="14"/>
        <v>358520.01473591285</v>
      </c>
      <c r="D249" s="16">
        <f t="shared" si="15"/>
        <v>1327266.1225449489</v>
      </c>
      <c r="E249" s="6">
        <f t="shared" si="17"/>
        <v>968746.10780903604</v>
      </c>
      <c r="F249" s="6">
        <f t="shared" si="16"/>
        <v>67169004.941972598</v>
      </c>
    </row>
    <row r="250" spans="2:6" x14ac:dyDescent="0.3">
      <c r="B250">
        <v>242</v>
      </c>
      <c r="C250" s="5">
        <f t="shared" si="14"/>
        <v>353422.76888473547</v>
      </c>
      <c r="D250" s="16">
        <f t="shared" si="15"/>
        <v>1327266.1225449489</v>
      </c>
      <c r="E250" s="6">
        <f t="shared" si="17"/>
        <v>973843.35366021353</v>
      </c>
      <c r="F250" s="6">
        <f t="shared" si="16"/>
        <v>66195161.588312387</v>
      </c>
    </row>
    <row r="251" spans="2:6" x14ac:dyDescent="0.3">
      <c r="B251">
        <v>243</v>
      </c>
      <c r="C251" s="5">
        <f t="shared" si="14"/>
        <v>348298.7028842353</v>
      </c>
      <c r="D251" s="16">
        <f t="shared" si="15"/>
        <v>1327266.1225449489</v>
      </c>
      <c r="E251" s="6">
        <f t="shared" si="17"/>
        <v>978967.41966071364</v>
      </c>
      <c r="F251" s="6">
        <f t="shared" si="16"/>
        <v>65216194.16865167</v>
      </c>
    </row>
    <row r="252" spans="2:6" x14ac:dyDescent="0.3">
      <c r="B252">
        <v>244</v>
      </c>
      <c r="C252" s="5">
        <f t="shared" si="14"/>
        <v>343147.6756149861</v>
      </c>
      <c r="D252" s="16">
        <f t="shared" si="15"/>
        <v>1327266.1225449489</v>
      </c>
      <c r="E252" s="6">
        <f t="shared" si="17"/>
        <v>984118.44692996284</v>
      </c>
      <c r="F252" s="6">
        <f t="shared" si="16"/>
        <v>64232075.721721709</v>
      </c>
    </row>
    <row r="253" spans="2:6" x14ac:dyDescent="0.3">
      <c r="B253">
        <v>245</v>
      </c>
      <c r="C253" s="5">
        <f t="shared" si="14"/>
        <v>337969.54521503445</v>
      </c>
      <c r="D253" s="16">
        <f t="shared" si="15"/>
        <v>1327266.1225449489</v>
      </c>
      <c r="E253" s="6">
        <f t="shared" si="17"/>
        <v>989296.57732991455</v>
      </c>
      <c r="F253" s="6">
        <f t="shared" si="16"/>
        <v>63242779.144391797</v>
      </c>
    </row>
    <row r="254" spans="2:6" x14ac:dyDescent="0.3">
      <c r="B254">
        <v>246</v>
      </c>
      <c r="C254" s="5">
        <f t="shared" si="14"/>
        <v>332764.1690759926</v>
      </c>
      <c r="D254" s="16">
        <f t="shared" si="15"/>
        <v>1327266.1225449489</v>
      </c>
      <c r="E254" s="6">
        <f t="shared" si="17"/>
        <v>994501.95346895629</v>
      </c>
      <c r="F254" s="6">
        <f t="shared" si="16"/>
        <v>62248277.190922841</v>
      </c>
    </row>
    <row r="255" spans="2:6" x14ac:dyDescent="0.3">
      <c r="B255">
        <v>247</v>
      </c>
      <c r="C255" s="5">
        <f t="shared" si="14"/>
        <v>327531.4038391111</v>
      </c>
      <c r="D255" s="16">
        <f t="shared" si="15"/>
        <v>1327266.1225449489</v>
      </c>
      <c r="E255" s="6">
        <f t="shared" si="17"/>
        <v>999734.71870583785</v>
      </c>
      <c r="F255" s="6">
        <f t="shared" si="16"/>
        <v>61248542.472217001</v>
      </c>
    </row>
    <row r="256" spans="2:6" x14ac:dyDescent="0.3">
      <c r="B256">
        <v>248</v>
      </c>
      <c r="C256" s="5">
        <f t="shared" si="14"/>
        <v>322271.10539133055</v>
      </c>
      <c r="D256" s="16">
        <f t="shared" si="15"/>
        <v>1327266.1225449489</v>
      </c>
      <c r="E256" s="6">
        <f t="shared" si="17"/>
        <v>1004995.0171536184</v>
      </c>
      <c r="F256" s="6">
        <f t="shared" si="16"/>
        <v>60243547.45506338</v>
      </c>
    </row>
    <row r="257" spans="2:6" x14ac:dyDescent="0.3">
      <c r="B257">
        <v>249</v>
      </c>
      <c r="C257" s="5">
        <f t="shared" si="14"/>
        <v>316983.12886131287</v>
      </c>
      <c r="D257" s="16">
        <f t="shared" si="15"/>
        <v>1327266.1225449489</v>
      </c>
      <c r="E257" s="6">
        <f t="shared" si="17"/>
        <v>1010282.9936836361</v>
      </c>
      <c r="F257" s="6">
        <f t="shared" si="16"/>
        <v>59233264.461379744</v>
      </c>
    </row>
    <row r="258" spans="2:6" x14ac:dyDescent="0.3">
      <c r="B258">
        <v>250</v>
      </c>
      <c r="C258" s="5">
        <f t="shared" si="14"/>
        <v>311667.32861545106</v>
      </c>
      <c r="D258" s="16">
        <f t="shared" si="15"/>
        <v>1327266.1225449489</v>
      </c>
      <c r="E258" s="6">
        <f t="shared" si="17"/>
        <v>1015598.7939294979</v>
      </c>
      <c r="F258" s="6">
        <f t="shared" si="16"/>
        <v>58217665.667450249</v>
      </c>
    </row>
    <row r="259" spans="2:6" x14ac:dyDescent="0.3">
      <c r="B259">
        <v>251</v>
      </c>
      <c r="C259" s="5">
        <f t="shared" si="14"/>
        <v>306323.55825385876</v>
      </c>
      <c r="D259" s="16">
        <f t="shared" si="15"/>
        <v>1327266.1225449489</v>
      </c>
      <c r="E259" s="6">
        <f t="shared" si="17"/>
        <v>1020942.5642910902</v>
      </c>
      <c r="F259" s="6">
        <f t="shared" si="16"/>
        <v>57196723.103159159</v>
      </c>
    </row>
    <row r="260" spans="2:6" x14ac:dyDescent="0.3">
      <c r="B260">
        <v>252</v>
      </c>
      <c r="C260" s="5">
        <f t="shared" si="14"/>
        <v>300951.67060633807</v>
      </c>
      <c r="D260" s="16">
        <f t="shared" si="15"/>
        <v>1327266.1225449489</v>
      </c>
      <c r="E260" s="6">
        <f t="shared" si="17"/>
        <v>1026314.4519386109</v>
      </c>
      <c r="F260" s="6">
        <f t="shared" si="16"/>
        <v>56170408.651220545</v>
      </c>
    </row>
    <row r="261" spans="2:6" x14ac:dyDescent="0.3">
      <c r="B261">
        <v>253</v>
      </c>
      <c r="C261" s="5">
        <f t="shared" si="14"/>
        <v>295551.51772832649</v>
      </c>
      <c r="D261" s="16">
        <f t="shared" si="15"/>
        <v>1327266.1225449489</v>
      </c>
      <c r="E261" s="6">
        <f t="shared" si="17"/>
        <v>1031714.6048166225</v>
      </c>
      <c r="F261" s="6">
        <f t="shared" si="16"/>
        <v>55138694.046403922</v>
      </c>
    </row>
    <row r="262" spans="2:6" x14ac:dyDescent="0.3">
      <c r="B262">
        <v>254</v>
      </c>
      <c r="C262" s="5">
        <f t="shared" si="14"/>
        <v>290122.95089682267</v>
      </c>
      <c r="D262" s="16">
        <f t="shared" si="15"/>
        <v>1327266.1225449489</v>
      </c>
      <c r="E262" s="6">
        <f t="shared" si="17"/>
        <v>1037143.1716481263</v>
      </c>
      <c r="F262" s="6">
        <f t="shared" si="16"/>
        <v>54101550.874755792</v>
      </c>
    </row>
    <row r="263" spans="2:6" x14ac:dyDescent="0.3">
      <c r="B263">
        <v>255</v>
      </c>
      <c r="C263" s="5">
        <f t="shared" si="14"/>
        <v>284665.82060628996</v>
      </c>
      <c r="D263" s="16">
        <f t="shared" si="15"/>
        <v>1327266.1225449489</v>
      </c>
      <c r="E263" s="6">
        <f t="shared" si="17"/>
        <v>1042600.301938659</v>
      </c>
      <c r="F263" s="6">
        <f t="shared" si="16"/>
        <v>53058950.572817132</v>
      </c>
    </row>
    <row r="264" spans="2:6" x14ac:dyDescent="0.3">
      <c r="B264">
        <v>256</v>
      </c>
      <c r="C264" s="5">
        <f t="shared" si="14"/>
        <v>279179.9765645396</v>
      </c>
      <c r="D264" s="16">
        <f t="shared" si="15"/>
        <v>1327266.1225449489</v>
      </c>
      <c r="E264" s="6">
        <f t="shared" si="17"/>
        <v>1048086.1459804093</v>
      </c>
      <c r="F264" s="6">
        <f t="shared" si="16"/>
        <v>52010864.426836722</v>
      </c>
    </row>
    <row r="265" spans="2:6" x14ac:dyDescent="0.3">
      <c r="B265">
        <v>257</v>
      </c>
      <c r="C265" s="5">
        <f t="shared" si="14"/>
        <v>273665.26768859103</v>
      </c>
      <c r="D265" s="16">
        <f t="shared" si="15"/>
        <v>1327266.1225449489</v>
      </c>
      <c r="E265" s="6">
        <f t="shared" si="17"/>
        <v>1053600.8548563579</v>
      </c>
      <c r="F265" s="6">
        <f t="shared" si="16"/>
        <v>50957263.571980365</v>
      </c>
    </row>
    <row r="266" spans="2:6" x14ac:dyDescent="0.3">
      <c r="B266">
        <v>258</v>
      </c>
      <c r="C266" s="5">
        <f t="shared" ref="C266:C308" si="18">F265*$D$4</f>
        <v>268121.54210051143</v>
      </c>
      <c r="D266" s="16">
        <f t="shared" ref="D266:D308" si="19">$C$5</f>
        <v>1327266.1225449489</v>
      </c>
      <c r="E266" s="6">
        <f t="shared" si="17"/>
        <v>1059144.5804444375</v>
      </c>
      <c r="F266" s="6">
        <f t="shared" ref="F266:F308" si="20">F265-E266</f>
        <v>49898118.991535924</v>
      </c>
    </row>
    <row r="267" spans="2:6" x14ac:dyDescent="0.3">
      <c r="B267">
        <v>259</v>
      </c>
      <c r="C267" s="5">
        <f t="shared" si="18"/>
        <v>262548.6471232326</v>
      </c>
      <c r="D267" s="16">
        <f t="shared" si="19"/>
        <v>1327266.1225449489</v>
      </c>
      <c r="E267" s="6">
        <f t="shared" ref="E267:E308" si="21">D267-C267</f>
        <v>1064717.4754217165</v>
      </c>
      <c r="F267" s="6">
        <f t="shared" si="20"/>
        <v>48833401.516114205</v>
      </c>
    </row>
    <row r="268" spans="2:6" x14ac:dyDescent="0.3">
      <c r="B268">
        <v>260</v>
      </c>
      <c r="C268" s="5">
        <f t="shared" si="18"/>
        <v>256946.42927634637</v>
      </c>
      <c r="D268" s="16">
        <f t="shared" si="19"/>
        <v>1327266.1225449489</v>
      </c>
      <c r="E268" s="6">
        <f t="shared" si="21"/>
        <v>1070319.6932686025</v>
      </c>
      <c r="F268" s="6">
        <f t="shared" si="20"/>
        <v>47763081.822845601</v>
      </c>
    </row>
    <row r="269" spans="2:6" x14ac:dyDescent="0.3">
      <c r="B269">
        <v>261</v>
      </c>
      <c r="C269" s="5">
        <f t="shared" si="18"/>
        <v>251314.7342718775</v>
      </c>
      <c r="D269" s="16">
        <f t="shared" si="19"/>
        <v>1327266.1225449489</v>
      </c>
      <c r="E269" s="6">
        <f t="shared" si="21"/>
        <v>1075951.3882730715</v>
      </c>
      <c r="F269" s="6">
        <f t="shared" si="20"/>
        <v>46687130.434572533</v>
      </c>
    </row>
    <row r="270" spans="2:6" x14ac:dyDescent="0.3">
      <c r="B270">
        <v>262</v>
      </c>
      <c r="C270" s="5">
        <f t="shared" si="18"/>
        <v>245653.40701003472</v>
      </c>
      <c r="D270" s="16">
        <f t="shared" si="19"/>
        <v>1327266.1225449489</v>
      </c>
      <c r="E270" s="6">
        <f t="shared" si="21"/>
        <v>1081612.7155349143</v>
      </c>
      <c r="F270" s="6">
        <f t="shared" si="20"/>
        <v>45605517.719037622</v>
      </c>
    </row>
    <row r="271" spans="2:6" x14ac:dyDescent="0.3">
      <c r="B271">
        <v>263</v>
      </c>
      <c r="C271" s="5">
        <f t="shared" si="18"/>
        <v>239962.29157493892</v>
      </c>
      <c r="D271" s="16">
        <f t="shared" si="19"/>
        <v>1327266.1225449489</v>
      </c>
      <c r="E271" s="6">
        <f t="shared" si="21"/>
        <v>1087303.83097001</v>
      </c>
      <c r="F271" s="6">
        <f t="shared" si="20"/>
        <v>44518213.888067611</v>
      </c>
    </row>
    <row r="272" spans="2:6" x14ac:dyDescent="0.3">
      <c r="B272">
        <v>264</v>
      </c>
      <c r="C272" s="5">
        <f t="shared" si="18"/>
        <v>234241.23123032937</v>
      </c>
      <c r="D272" s="16">
        <f t="shared" si="19"/>
        <v>1327266.1225449489</v>
      </c>
      <c r="E272" s="6">
        <f t="shared" si="21"/>
        <v>1093024.8913146197</v>
      </c>
      <c r="F272" s="6">
        <f t="shared" si="20"/>
        <v>43425188.996752992</v>
      </c>
    </row>
    <row r="273" spans="2:6" x14ac:dyDescent="0.3">
      <c r="B273">
        <v>265</v>
      </c>
      <c r="C273" s="5">
        <f t="shared" si="18"/>
        <v>228490.06841524714</v>
      </c>
      <c r="D273" s="16">
        <f t="shared" si="19"/>
        <v>1327266.1225449489</v>
      </c>
      <c r="E273" s="6">
        <f t="shared" si="21"/>
        <v>1098776.0541297018</v>
      </c>
      <c r="F273" s="6">
        <f t="shared" si="20"/>
        <v>42326412.942623287</v>
      </c>
    </row>
    <row r="274" spans="2:6" x14ac:dyDescent="0.3">
      <c r="B274">
        <v>266</v>
      </c>
      <c r="C274" s="5">
        <f t="shared" si="18"/>
        <v>222708.6447396955</v>
      </c>
      <c r="D274" s="16">
        <f t="shared" si="19"/>
        <v>1327266.1225449489</v>
      </c>
      <c r="E274" s="6">
        <f t="shared" si="21"/>
        <v>1104557.4778052534</v>
      </c>
      <c r="F274" s="6">
        <f t="shared" si="20"/>
        <v>41221855.464818031</v>
      </c>
    </row>
    <row r="275" spans="2:6" x14ac:dyDescent="0.3">
      <c r="B275">
        <v>267</v>
      </c>
      <c r="C275" s="5">
        <f t="shared" si="18"/>
        <v>216896.8009802782</v>
      </c>
      <c r="D275" s="16">
        <f t="shared" si="19"/>
        <v>1327266.1225449489</v>
      </c>
      <c r="E275" s="6">
        <f t="shared" si="21"/>
        <v>1110369.3215646707</v>
      </c>
      <c r="F275" s="6">
        <f t="shared" si="20"/>
        <v>40111486.143253356</v>
      </c>
    </row>
    <row r="276" spans="2:6" x14ac:dyDescent="0.3">
      <c r="B276">
        <v>268</v>
      </c>
      <c r="C276" s="5">
        <f t="shared" si="18"/>
        <v>211054.37707581403</v>
      </c>
      <c r="D276" s="16">
        <f t="shared" si="19"/>
        <v>1327266.1225449489</v>
      </c>
      <c r="E276" s="6">
        <f t="shared" si="21"/>
        <v>1116211.745469135</v>
      </c>
      <c r="F276" s="6">
        <f t="shared" si="20"/>
        <v>38995274.397784218</v>
      </c>
    </row>
    <row r="277" spans="2:6" x14ac:dyDescent="0.3">
      <c r="B277">
        <v>269</v>
      </c>
      <c r="C277" s="5">
        <f t="shared" si="18"/>
        <v>205181.21212292882</v>
      </c>
      <c r="D277" s="16">
        <f t="shared" si="19"/>
        <v>1327266.1225449489</v>
      </c>
      <c r="E277" s="6">
        <f t="shared" si="21"/>
        <v>1122084.9104220201</v>
      </c>
      <c r="F277" s="6">
        <f t="shared" si="20"/>
        <v>37873189.487362199</v>
      </c>
    </row>
    <row r="278" spans="2:6" x14ac:dyDescent="0.3">
      <c r="B278">
        <v>270</v>
      </c>
      <c r="C278" s="5">
        <f t="shared" si="18"/>
        <v>199277.14437162408</v>
      </c>
      <c r="D278" s="16">
        <f t="shared" si="19"/>
        <v>1327266.1225449489</v>
      </c>
      <c r="E278" s="6">
        <f t="shared" si="21"/>
        <v>1127988.9781733248</v>
      </c>
      <c r="F278" s="6">
        <f t="shared" si="20"/>
        <v>36745200.509188876</v>
      </c>
    </row>
    <row r="279" spans="2:6" x14ac:dyDescent="0.3">
      <c r="B279">
        <v>271</v>
      </c>
      <c r="C279" s="5">
        <f t="shared" si="18"/>
        <v>193342.01122082214</v>
      </c>
      <c r="D279" s="16">
        <f t="shared" si="19"/>
        <v>1327266.1225449489</v>
      </c>
      <c r="E279" s="6">
        <f t="shared" si="21"/>
        <v>1133924.1113241268</v>
      </c>
      <c r="F279" s="6">
        <f t="shared" si="20"/>
        <v>35611276.397864752</v>
      </c>
    </row>
    <row r="280" spans="2:6" x14ac:dyDescent="0.3">
      <c r="B280">
        <v>272</v>
      </c>
      <c r="C280" s="5">
        <f t="shared" si="18"/>
        <v>187375.64921388833</v>
      </c>
      <c r="D280" s="16">
        <f t="shared" si="19"/>
        <v>1327266.1225449489</v>
      </c>
      <c r="E280" s="6">
        <f t="shared" si="21"/>
        <v>1139890.4733310607</v>
      </c>
      <c r="F280" s="6">
        <f t="shared" si="20"/>
        <v>34471385.924533688</v>
      </c>
    </row>
    <row r="281" spans="2:6" x14ac:dyDescent="0.3">
      <c r="B281">
        <v>273</v>
      </c>
      <c r="C281" s="5">
        <f t="shared" si="18"/>
        <v>181377.89403412901</v>
      </c>
      <c r="D281" s="16">
        <f t="shared" si="19"/>
        <v>1327266.1225449489</v>
      </c>
      <c r="E281" s="6">
        <f t="shared" si="21"/>
        <v>1145888.2285108198</v>
      </c>
      <c r="F281" s="6">
        <f t="shared" si="20"/>
        <v>33325497.696022868</v>
      </c>
    </row>
    <row r="282" spans="2:6" x14ac:dyDescent="0.3">
      <c r="B282">
        <v>274</v>
      </c>
      <c r="C282" s="5">
        <f t="shared" si="18"/>
        <v>175348.58050026643</v>
      </c>
      <c r="D282" s="16">
        <f t="shared" si="19"/>
        <v>1327266.1225449489</v>
      </c>
      <c r="E282" s="6">
        <f t="shared" si="21"/>
        <v>1151917.5420446824</v>
      </c>
      <c r="F282" s="6">
        <f t="shared" si="20"/>
        <v>32173580.153978184</v>
      </c>
    </row>
    <row r="283" spans="2:6" x14ac:dyDescent="0.3">
      <c r="B283">
        <v>275</v>
      </c>
      <c r="C283" s="5">
        <f t="shared" si="18"/>
        <v>169287.54256188936</v>
      </c>
      <c r="D283" s="16">
        <f t="shared" si="19"/>
        <v>1327266.1225449489</v>
      </c>
      <c r="E283" s="6">
        <f t="shared" si="21"/>
        <v>1157978.5799830595</v>
      </c>
      <c r="F283" s="6">
        <f t="shared" si="20"/>
        <v>31015601.573995125</v>
      </c>
    </row>
    <row r="284" spans="2:6" x14ac:dyDescent="0.3">
      <c r="B284">
        <v>276</v>
      </c>
      <c r="C284" s="5">
        <f t="shared" si="18"/>
        <v>163194.61329488023</v>
      </c>
      <c r="D284" s="16">
        <f t="shared" si="19"/>
        <v>1327266.1225449489</v>
      </c>
      <c r="E284" s="6">
        <f t="shared" si="21"/>
        <v>1164071.5092500688</v>
      </c>
      <c r="F284" s="6">
        <f t="shared" si="20"/>
        <v>29851530.064745057</v>
      </c>
    </row>
    <row r="285" spans="2:6" x14ac:dyDescent="0.3">
      <c r="B285">
        <v>277</v>
      </c>
      <c r="C285" s="5">
        <f t="shared" si="18"/>
        <v>157069.62489681764</v>
      </c>
      <c r="D285" s="16">
        <f t="shared" si="19"/>
        <v>1327266.1225449489</v>
      </c>
      <c r="E285" s="6">
        <f t="shared" si="21"/>
        <v>1170196.4976481313</v>
      </c>
      <c r="F285" s="6">
        <f t="shared" si="20"/>
        <v>28681333.567096926</v>
      </c>
    </row>
    <row r="286" spans="2:6" x14ac:dyDescent="0.3">
      <c r="B286">
        <v>278</v>
      </c>
      <c r="C286" s="5">
        <f t="shared" si="18"/>
        <v>150912.40868235516</v>
      </c>
      <c r="D286" s="16">
        <f t="shared" si="19"/>
        <v>1327266.1225449489</v>
      </c>
      <c r="E286" s="6">
        <f t="shared" si="21"/>
        <v>1176353.7138625938</v>
      </c>
      <c r="F286" s="6">
        <f t="shared" si="20"/>
        <v>27504979.853234332</v>
      </c>
    </row>
    <row r="287" spans="2:6" x14ac:dyDescent="0.3">
      <c r="B287">
        <v>279</v>
      </c>
      <c r="C287" s="5">
        <f t="shared" si="18"/>
        <v>144722.79507857576</v>
      </c>
      <c r="D287" s="16">
        <f t="shared" si="19"/>
        <v>1327266.1225449489</v>
      </c>
      <c r="E287" s="6">
        <f t="shared" si="21"/>
        <v>1182543.3274663731</v>
      </c>
      <c r="F287" s="6">
        <f t="shared" si="20"/>
        <v>26322436.52576796</v>
      </c>
    </row>
    <row r="288" spans="2:6" x14ac:dyDescent="0.3">
      <c r="B288">
        <v>280</v>
      </c>
      <c r="C288" s="5">
        <f t="shared" si="18"/>
        <v>138500.61362032144</v>
      </c>
      <c r="D288" s="16">
        <f t="shared" si="19"/>
        <v>1327266.1225449489</v>
      </c>
      <c r="E288" s="6">
        <f t="shared" si="21"/>
        <v>1188765.5089246274</v>
      </c>
      <c r="F288" s="6">
        <f t="shared" si="20"/>
        <v>25133671.016843334</v>
      </c>
    </row>
    <row r="289" spans="2:6" x14ac:dyDescent="0.3">
      <c r="B289">
        <v>281</v>
      </c>
      <c r="C289" s="5">
        <f t="shared" si="18"/>
        <v>132245.69294549874</v>
      </c>
      <c r="D289" s="16">
        <f t="shared" si="19"/>
        <v>1327266.1225449489</v>
      </c>
      <c r="E289" s="6">
        <f t="shared" si="21"/>
        <v>1195020.4295994502</v>
      </c>
      <c r="F289" s="6">
        <f t="shared" si="20"/>
        <v>23938650.587243885</v>
      </c>
    </row>
    <row r="290" spans="2:6" x14ac:dyDescent="0.3">
      <c r="B290">
        <v>282</v>
      </c>
      <c r="C290" s="5">
        <f t="shared" si="18"/>
        <v>125957.86079035919</v>
      </c>
      <c r="D290" s="16">
        <f t="shared" si="19"/>
        <v>1327266.1225449489</v>
      </c>
      <c r="E290" s="6">
        <f t="shared" si="21"/>
        <v>1201308.2617545899</v>
      </c>
      <c r="F290" s="6">
        <f t="shared" si="20"/>
        <v>22737342.325489294</v>
      </c>
    </row>
    <row r="291" spans="2:6" x14ac:dyDescent="0.3">
      <c r="B291">
        <v>283</v>
      </c>
      <c r="C291" s="5">
        <f t="shared" si="18"/>
        <v>119636.94398475514</v>
      </c>
      <c r="D291" s="16">
        <f t="shared" si="19"/>
        <v>1327266.1225449489</v>
      </c>
      <c r="E291" s="6">
        <f t="shared" si="21"/>
        <v>1207629.1785601939</v>
      </c>
      <c r="F291" s="6">
        <f t="shared" si="20"/>
        <v>21529713.1469291</v>
      </c>
    </row>
    <row r="292" spans="2:6" x14ac:dyDescent="0.3">
      <c r="B292">
        <v>284</v>
      </c>
      <c r="C292" s="5">
        <f t="shared" si="18"/>
        <v>113282.76844737062</v>
      </c>
      <c r="D292" s="16">
        <f t="shared" si="19"/>
        <v>1327266.1225449489</v>
      </c>
      <c r="E292" s="6">
        <f t="shared" si="21"/>
        <v>1213983.3540975782</v>
      </c>
      <c r="F292" s="6">
        <f t="shared" si="20"/>
        <v>20315729.792831521</v>
      </c>
    </row>
    <row r="293" spans="2:6" x14ac:dyDescent="0.3">
      <c r="B293">
        <v>285</v>
      </c>
      <c r="C293" s="5">
        <f t="shared" si="18"/>
        <v>106895.15918092694</v>
      </c>
      <c r="D293" s="16">
        <f t="shared" si="19"/>
        <v>1327266.1225449489</v>
      </c>
      <c r="E293" s="6">
        <f t="shared" si="21"/>
        <v>1220370.9633640221</v>
      </c>
      <c r="F293" s="6">
        <f t="shared" si="20"/>
        <v>19095358.829467498</v>
      </c>
    </row>
    <row r="294" spans="2:6" x14ac:dyDescent="0.3">
      <c r="B294">
        <v>286</v>
      </c>
      <c r="C294" s="5">
        <f t="shared" si="18"/>
        <v>100473.94026736329</v>
      </c>
      <c r="D294" s="16">
        <f t="shared" si="19"/>
        <v>1327266.1225449489</v>
      </c>
      <c r="E294" s="6">
        <f t="shared" si="21"/>
        <v>1226792.1822775856</v>
      </c>
      <c r="F294" s="6">
        <f t="shared" si="20"/>
        <v>17868566.647189911</v>
      </c>
    </row>
    <row r="295" spans="2:6" x14ac:dyDescent="0.3">
      <c r="B295">
        <v>287</v>
      </c>
      <c r="C295" s="5">
        <f t="shared" si="18"/>
        <v>94018.934862991751</v>
      </c>
      <c r="D295" s="16">
        <f t="shared" si="19"/>
        <v>1327266.1225449489</v>
      </c>
      <c r="E295" s="6">
        <f t="shared" si="21"/>
        <v>1233247.1876819571</v>
      </c>
      <c r="F295" s="6">
        <f t="shared" si="20"/>
        <v>16635319.459507953</v>
      </c>
    </row>
    <row r="296" spans="2:6" x14ac:dyDescent="0.3">
      <c r="B296">
        <v>288</v>
      </c>
      <c r="C296" s="5">
        <f t="shared" si="18"/>
        <v>87529.965193627009</v>
      </c>
      <c r="D296" s="16">
        <f t="shared" si="19"/>
        <v>1327266.1225449489</v>
      </c>
      <c r="E296" s="6">
        <f t="shared" si="21"/>
        <v>1239736.157351322</v>
      </c>
      <c r="F296" s="6">
        <f t="shared" si="20"/>
        <v>15395583.302156631</v>
      </c>
    </row>
    <row r="297" spans="2:6" x14ac:dyDescent="0.3">
      <c r="B297">
        <v>289</v>
      </c>
      <c r="C297" s="5">
        <f t="shared" si="18"/>
        <v>81006.852549690331</v>
      </c>
      <c r="D297" s="16">
        <f t="shared" si="19"/>
        <v>1327266.1225449489</v>
      </c>
      <c r="E297" s="6">
        <f t="shared" si="21"/>
        <v>1246259.2699952587</v>
      </c>
      <c r="F297" s="6">
        <f t="shared" si="20"/>
        <v>14149324.032161372</v>
      </c>
    </row>
    <row r="298" spans="2:6" x14ac:dyDescent="0.3">
      <c r="B298">
        <v>290</v>
      </c>
      <c r="C298" s="5">
        <f t="shared" si="18"/>
        <v>74449.417281287824</v>
      </c>
      <c r="D298" s="16">
        <f t="shared" si="19"/>
        <v>1327266.1225449489</v>
      </c>
      <c r="E298" s="6">
        <f t="shared" si="21"/>
        <v>1252816.7052636612</v>
      </c>
      <c r="F298" s="6">
        <f t="shared" si="20"/>
        <v>12896507.326897711</v>
      </c>
    </row>
    <row r="299" spans="2:6" x14ac:dyDescent="0.3">
      <c r="B299">
        <v>291</v>
      </c>
      <c r="C299" s="5">
        <f t="shared" si="18"/>
        <v>67857.478793262766</v>
      </c>
      <c r="D299" s="16">
        <f t="shared" si="19"/>
        <v>1327266.1225449489</v>
      </c>
      <c r="E299" s="6">
        <f t="shared" si="21"/>
        <v>1259408.6437516862</v>
      </c>
      <c r="F299" s="6">
        <f t="shared" si="20"/>
        <v>11637098.683146024</v>
      </c>
    </row>
    <row r="300" spans="2:6" x14ac:dyDescent="0.3">
      <c r="B300">
        <v>292</v>
      </c>
      <c r="C300" s="5">
        <f t="shared" si="18"/>
        <v>61230.855540221928</v>
      </c>
      <c r="D300" s="16">
        <f t="shared" si="19"/>
        <v>1327266.1225449489</v>
      </c>
      <c r="E300" s="6">
        <f t="shared" si="21"/>
        <v>1266035.2670047269</v>
      </c>
      <c r="F300" s="6">
        <f t="shared" si="20"/>
        <v>10371063.416141298</v>
      </c>
    </row>
    <row r="301" spans="2:6" x14ac:dyDescent="0.3">
      <c r="B301">
        <v>293</v>
      </c>
      <c r="C301" s="5">
        <f t="shared" si="18"/>
        <v>54569.365021535748</v>
      </c>
      <c r="D301" s="16">
        <f t="shared" si="19"/>
        <v>1327266.1225449489</v>
      </c>
      <c r="E301" s="6">
        <f t="shared" si="21"/>
        <v>1272696.7575234133</v>
      </c>
      <c r="F301" s="6">
        <f t="shared" si="20"/>
        <v>9098366.6586178839</v>
      </c>
    </row>
    <row r="302" spans="2:6" x14ac:dyDescent="0.3">
      <c r="B302">
        <v>294</v>
      </c>
      <c r="C302" s="5">
        <f t="shared" si="18"/>
        <v>47872.823776312107</v>
      </c>
      <c r="D302" s="16">
        <f t="shared" si="19"/>
        <v>1327266.1225449489</v>
      </c>
      <c r="E302" s="6">
        <f t="shared" si="21"/>
        <v>1279393.2987686368</v>
      </c>
      <c r="F302" s="6">
        <f t="shared" si="20"/>
        <v>7818973.3598492472</v>
      </c>
    </row>
    <row r="303" spans="2:6" x14ac:dyDescent="0.3">
      <c r="B303">
        <v>295</v>
      </c>
      <c r="C303" s="5">
        <f t="shared" si="18"/>
        <v>41141.047378343806</v>
      </c>
      <c r="D303" s="16">
        <f t="shared" si="19"/>
        <v>1327266.1225449489</v>
      </c>
      <c r="E303" s="6">
        <f t="shared" si="21"/>
        <v>1286125.0751666052</v>
      </c>
      <c r="F303" s="6">
        <f t="shared" si="20"/>
        <v>6532848.2846826417</v>
      </c>
    </row>
    <row r="304" spans="2:6" x14ac:dyDescent="0.3">
      <c r="B304">
        <v>296</v>
      </c>
      <c r="C304" s="5">
        <f t="shared" si="18"/>
        <v>34373.850431029299</v>
      </c>
      <c r="D304" s="16">
        <f t="shared" si="19"/>
        <v>1327266.1225449489</v>
      </c>
      <c r="E304" s="6">
        <f t="shared" si="21"/>
        <v>1292892.2721139197</v>
      </c>
      <c r="F304" s="6">
        <f t="shared" si="20"/>
        <v>5239956.0125687215</v>
      </c>
    </row>
    <row r="305" spans="2:6" x14ac:dyDescent="0.3">
      <c r="B305">
        <v>297</v>
      </c>
      <c r="C305" s="5">
        <f t="shared" si="18"/>
        <v>27571.046562266802</v>
      </c>
      <c r="D305" s="16">
        <f t="shared" si="19"/>
        <v>1327266.1225449489</v>
      </c>
      <c r="E305" s="6">
        <f t="shared" si="21"/>
        <v>1299695.0759826822</v>
      </c>
      <c r="F305" s="6">
        <f t="shared" si="20"/>
        <v>3940260.9365860391</v>
      </c>
    </row>
    <row r="306" spans="2:6" x14ac:dyDescent="0.3">
      <c r="B306">
        <v>298</v>
      </c>
      <c r="C306" s="5">
        <f t="shared" si="18"/>
        <v>20732.448419321518</v>
      </c>
      <c r="D306" s="16">
        <f t="shared" si="19"/>
        <v>1327266.1225449489</v>
      </c>
      <c r="E306" s="6">
        <f t="shared" si="21"/>
        <v>1306533.6741256274</v>
      </c>
      <c r="F306" s="6">
        <f t="shared" si="20"/>
        <v>2633727.2624604115</v>
      </c>
    </row>
    <row r="307" spans="2:6" x14ac:dyDescent="0.3">
      <c r="B307">
        <v>299</v>
      </c>
      <c r="C307" s="5">
        <f t="shared" si="18"/>
        <v>13857.86766366584</v>
      </c>
      <c r="D307" s="16">
        <f t="shared" si="19"/>
        <v>1327266.1225449489</v>
      </c>
      <c r="E307" s="6">
        <f t="shared" si="21"/>
        <v>1313408.254881283</v>
      </c>
      <c r="F307" s="6">
        <f t="shared" si="20"/>
        <v>1320319.0075791285</v>
      </c>
    </row>
    <row r="308" spans="2:6" x14ac:dyDescent="0.3">
      <c r="B308">
        <v>300</v>
      </c>
      <c r="C308" s="5">
        <f t="shared" si="18"/>
        <v>6947.1149657924016</v>
      </c>
      <c r="D308" s="16">
        <f t="shared" si="19"/>
        <v>1327266.1225449489</v>
      </c>
      <c r="E308" s="6">
        <f t="shared" si="21"/>
        <v>1320319.0075791564</v>
      </c>
      <c r="F308" s="6">
        <f t="shared" si="20"/>
        <v>-2.7939677238464355E-8</v>
      </c>
    </row>
  </sheetData>
  <mergeCells count="2">
    <mergeCell ref="I9:L9"/>
    <mergeCell ref="J10:K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E21AE-37F2-4490-B9F2-C563FE79F300}">
  <dimension ref="B2:H610"/>
  <sheetViews>
    <sheetView showGridLines="0" workbookViewId="0">
      <selection activeCell="L9" sqref="L9"/>
    </sheetView>
  </sheetViews>
  <sheetFormatPr baseColWidth="10" defaultRowHeight="14.4" x14ac:dyDescent="0.3"/>
  <cols>
    <col min="2" max="2" width="16.33203125" bestFit="1" customWidth="1"/>
    <col min="3" max="3" width="16.5546875" bestFit="1" customWidth="1"/>
    <col min="4" max="4" width="13.88671875" bestFit="1" customWidth="1"/>
    <col min="5" max="5" width="14.33203125" bestFit="1" customWidth="1"/>
    <col min="6" max="6" width="14.44140625" bestFit="1" customWidth="1"/>
    <col min="7" max="7" width="14.33203125" customWidth="1"/>
    <col min="8" max="8" width="13.88671875" bestFit="1" customWidth="1"/>
  </cols>
  <sheetData>
    <row r="2" spans="2:8" x14ac:dyDescent="0.3">
      <c r="B2" t="s">
        <v>23</v>
      </c>
      <c r="C2" s="4">
        <v>350000000</v>
      </c>
      <c r="E2" t="s">
        <v>26</v>
      </c>
      <c r="F2" s="4">
        <v>5000000</v>
      </c>
      <c r="G2" s="4"/>
    </row>
    <row r="3" spans="2:8" x14ac:dyDescent="0.3">
      <c r="B3" t="s">
        <v>1</v>
      </c>
      <c r="C3" s="18">
        <v>72</v>
      </c>
      <c r="D3" s="4">
        <f>_xlfn.XLOOKUP(C3,$B$9:$B$610,H9:H610,0,0)</f>
        <v>-1.4901161193847656E-7</v>
      </c>
      <c r="E3" t="s">
        <v>28</v>
      </c>
      <c r="F3" s="18">
        <v>6</v>
      </c>
      <c r="G3" s="18"/>
    </row>
    <row r="4" spans="2:8" x14ac:dyDescent="0.3">
      <c r="B4" t="s">
        <v>24</v>
      </c>
      <c r="C4" s="2">
        <v>0.1</v>
      </c>
      <c r="E4" t="s">
        <v>25</v>
      </c>
      <c r="F4" s="17">
        <v>0.25</v>
      </c>
      <c r="G4" s="17"/>
    </row>
    <row r="5" spans="2:8" x14ac:dyDescent="0.3">
      <c r="B5" t="s">
        <v>30</v>
      </c>
      <c r="C5" s="17">
        <v>0.01</v>
      </c>
    </row>
    <row r="6" spans="2:8" x14ac:dyDescent="0.3">
      <c r="B6" t="s">
        <v>27</v>
      </c>
      <c r="C6" s="18">
        <v>6</v>
      </c>
    </row>
    <row r="7" spans="2:8" x14ac:dyDescent="0.3">
      <c r="B7" t="s">
        <v>29</v>
      </c>
      <c r="C7" s="4">
        <v>5857899.4043183839</v>
      </c>
    </row>
    <row r="9" spans="2:8" x14ac:dyDescent="0.3">
      <c r="B9" t="s">
        <v>3</v>
      </c>
      <c r="C9" t="s">
        <v>4</v>
      </c>
      <c r="D9" t="s">
        <v>29</v>
      </c>
      <c r="E9" t="s">
        <v>6</v>
      </c>
      <c r="F9" t="s">
        <v>26</v>
      </c>
      <c r="G9" t="s">
        <v>25</v>
      </c>
      <c r="H9" t="s">
        <v>7</v>
      </c>
    </row>
    <row r="10" spans="2:8" x14ac:dyDescent="0.3">
      <c r="B10">
        <v>0</v>
      </c>
      <c r="H10" s="6">
        <f>C2</f>
        <v>350000000</v>
      </c>
    </row>
    <row r="11" spans="2:8" x14ac:dyDescent="0.3">
      <c r="B11">
        <v>1</v>
      </c>
      <c r="C11" s="4">
        <f>H10*$C$5</f>
        <v>3500000</v>
      </c>
      <c r="D11" s="4">
        <f>IF(B11&lt;=$C$6,0,$C$7)</f>
        <v>0</v>
      </c>
      <c r="E11" s="4">
        <f>D11-C11+F11+G11</f>
        <v>-3500000</v>
      </c>
      <c r="F11" s="4">
        <f>IF(MOD(B11,$F$3)=0,$F$2,0)</f>
        <v>0</v>
      </c>
      <c r="G11" s="4">
        <f>IF(B11=$C$3,$F$4*$C$2,0)</f>
        <v>0</v>
      </c>
      <c r="H11" s="6">
        <f>H10-E11</f>
        <v>353500000</v>
      </c>
    </row>
    <row r="12" spans="2:8" x14ac:dyDescent="0.3">
      <c r="B12">
        <v>2</v>
      </c>
      <c r="C12" s="4">
        <f t="shared" ref="C12:C75" si="0">H11*$C$5</f>
        <v>3535000</v>
      </c>
      <c r="D12" s="4">
        <f t="shared" ref="D12:D75" si="1">IF(B12&lt;=$C$6,0,$C$7)</f>
        <v>0</v>
      </c>
      <c r="E12" s="4">
        <f t="shared" ref="E12:E75" si="2">D12-C12+F12+G12</f>
        <v>-3535000</v>
      </c>
      <c r="F12" s="4">
        <f t="shared" ref="F12:F75" si="3">IF(MOD(B12,$F$3)=0,$F$2,0)</f>
        <v>0</v>
      </c>
      <c r="G12" s="4">
        <f t="shared" ref="G12:G75" si="4">IF(B12=$C$3,$F$4*$C$2,0)</f>
        <v>0</v>
      </c>
      <c r="H12" s="6">
        <f t="shared" ref="H12:H75" si="5">H11-E12</f>
        <v>357035000</v>
      </c>
    </row>
    <row r="13" spans="2:8" x14ac:dyDescent="0.3">
      <c r="B13">
        <v>3</v>
      </c>
      <c r="C13" s="4">
        <f t="shared" si="0"/>
        <v>3570350</v>
      </c>
      <c r="D13" s="4">
        <f t="shared" si="1"/>
        <v>0</v>
      </c>
      <c r="E13" s="4">
        <f t="shared" si="2"/>
        <v>-3570350</v>
      </c>
      <c r="F13" s="4">
        <f t="shared" si="3"/>
        <v>0</v>
      </c>
      <c r="G13" s="4">
        <f t="shared" si="4"/>
        <v>0</v>
      </c>
      <c r="H13" s="6">
        <f t="shared" si="5"/>
        <v>360605350</v>
      </c>
    </row>
    <row r="14" spans="2:8" x14ac:dyDescent="0.3">
      <c r="B14">
        <v>4</v>
      </c>
      <c r="C14" s="4">
        <f t="shared" si="0"/>
        <v>3606053.5</v>
      </c>
      <c r="D14" s="4">
        <f t="shared" si="1"/>
        <v>0</v>
      </c>
      <c r="E14" s="4">
        <f t="shared" si="2"/>
        <v>-3606053.5</v>
      </c>
      <c r="F14" s="4">
        <f t="shared" si="3"/>
        <v>0</v>
      </c>
      <c r="G14" s="4">
        <f t="shared" si="4"/>
        <v>0</v>
      </c>
      <c r="H14" s="6">
        <f t="shared" si="5"/>
        <v>364211403.5</v>
      </c>
    </row>
    <row r="15" spans="2:8" x14ac:dyDescent="0.3">
      <c r="B15">
        <v>5</v>
      </c>
      <c r="C15" s="4">
        <f t="shared" si="0"/>
        <v>3642114.0350000001</v>
      </c>
      <c r="D15" s="4">
        <f t="shared" si="1"/>
        <v>0</v>
      </c>
      <c r="E15" s="4">
        <f t="shared" si="2"/>
        <v>-3642114.0350000001</v>
      </c>
      <c r="F15" s="4">
        <f t="shared" si="3"/>
        <v>0</v>
      </c>
      <c r="G15" s="4">
        <f t="shared" si="4"/>
        <v>0</v>
      </c>
      <c r="H15" s="6">
        <f t="shared" si="5"/>
        <v>367853517.53500003</v>
      </c>
    </row>
    <row r="16" spans="2:8" x14ac:dyDescent="0.3">
      <c r="B16">
        <v>6</v>
      </c>
      <c r="C16" s="4">
        <f t="shared" si="0"/>
        <v>3678535.1753500002</v>
      </c>
      <c r="D16" s="4">
        <f t="shared" si="1"/>
        <v>0</v>
      </c>
      <c r="E16" s="4">
        <f t="shared" si="2"/>
        <v>1321464.8246499998</v>
      </c>
      <c r="F16" s="4">
        <f t="shared" si="3"/>
        <v>5000000</v>
      </c>
      <c r="G16" s="4">
        <f t="shared" si="4"/>
        <v>0</v>
      </c>
      <c r="H16" s="6">
        <f t="shared" si="5"/>
        <v>366532052.71035004</v>
      </c>
    </row>
    <row r="17" spans="2:8" x14ac:dyDescent="0.3">
      <c r="B17">
        <v>7</v>
      </c>
      <c r="C17" s="4">
        <f t="shared" si="0"/>
        <v>3665320.5271035004</v>
      </c>
      <c r="D17" s="4">
        <f t="shared" si="1"/>
        <v>5857899.4043183839</v>
      </c>
      <c r="E17" s="4">
        <f t="shared" si="2"/>
        <v>2192578.8772148835</v>
      </c>
      <c r="F17" s="4">
        <f t="shared" si="3"/>
        <v>0</v>
      </c>
      <c r="G17" s="4">
        <f t="shared" si="4"/>
        <v>0</v>
      </c>
      <c r="H17" s="6">
        <f t="shared" si="5"/>
        <v>364339473.83313513</v>
      </c>
    </row>
    <row r="18" spans="2:8" x14ac:dyDescent="0.3">
      <c r="B18">
        <v>8</v>
      </c>
      <c r="C18" s="4">
        <f t="shared" si="0"/>
        <v>3643394.7383313514</v>
      </c>
      <c r="D18" s="4">
        <f t="shared" si="1"/>
        <v>5857899.4043183839</v>
      </c>
      <c r="E18" s="4">
        <f t="shared" si="2"/>
        <v>2214504.6659870325</v>
      </c>
      <c r="F18" s="4">
        <f t="shared" si="3"/>
        <v>0</v>
      </c>
      <c r="G18" s="4">
        <f t="shared" si="4"/>
        <v>0</v>
      </c>
      <c r="H18" s="6">
        <f t="shared" si="5"/>
        <v>362124969.16714811</v>
      </c>
    </row>
    <row r="19" spans="2:8" x14ac:dyDescent="0.3">
      <c r="B19">
        <v>9</v>
      </c>
      <c r="C19" s="4">
        <f t="shared" si="0"/>
        <v>3621249.6916714814</v>
      </c>
      <c r="D19" s="4">
        <f t="shared" si="1"/>
        <v>5857899.4043183839</v>
      </c>
      <c r="E19" s="4">
        <f t="shared" si="2"/>
        <v>2236649.7126469025</v>
      </c>
      <c r="F19" s="4">
        <f t="shared" si="3"/>
        <v>0</v>
      </c>
      <c r="G19" s="4">
        <f t="shared" si="4"/>
        <v>0</v>
      </c>
      <c r="H19" s="6">
        <f t="shared" si="5"/>
        <v>359888319.45450121</v>
      </c>
    </row>
    <row r="20" spans="2:8" x14ac:dyDescent="0.3">
      <c r="B20">
        <v>10</v>
      </c>
      <c r="C20" s="4">
        <f t="shared" si="0"/>
        <v>3598883.194545012</v>
      </c>
      <c r="D20" s="4">
        <f t="shared" si="1"/>
        <v>5857899.4043183839</v>
      </c>
      <c r="E20" s="4">
        <f t="shared" si="2"/>
        <v>2259016.2097733719</v>
      </c>
      <c r="F20" s="4">
        <f t="shared" si="3"/>
        <v>0</v>
      </c>
      <c r="G20" s="4">
        <f t="shared" si="4"/>
        <v>0</v>
      </c>
      <c r="H20" s="6">
        <f t="shared" si="5"/>
        <v>357629303.24472785</v>
      </c>
    </row>
    <row r="21" spans="2:8" x14ac:dyDescent="0.3">
      <c r="B21">
        <v>11</v>
      </c>
      <c r="C21" s="4">
        <f t="shared" si="0"/>
        <v>3576293.0324472785</v>
      </c>
      <c r="D21" s="4">
        <f t="shared" si="1"/>
        <v>5857899.4043183839</v>
      </c>
      <c r="E21" s="4">
        <f t="shared" si="2"/>
        <v>2281606.3718711054</v>
      </c>
      <c r="F21" s="4">
        <f t="shared" si="3"/>
        <v>0</v>
      </c>
      <c r="G21" s="4">
        <f t="shared" si="4"/>
        <v>0</v>
      </c>
      <c r="H21" s="6">
        <f t="shared" si="5"/>
        <v>355347696.87285674</v>
      </c>
    </row>
    <row r="22" spans="2:8" x14ac:dyDescent="0.3">
      <c r="B22">
        <v>12</v>
      </c>
      <c r="C22" s="4">
        <f t="shared" si="0"/>
        <v>3553476.9687285675</v>
      </c>
      <c r="D22" s="4">
        <f t="shared" si="1"/>
        <v>5857899.4043183839</v>
      </c>
      <c r="E22" s="4">
        <f t="shared" si="2"/>
        <v>7304422.4355898164</v>
      </c>
      <c r="F22" s="4">
        <f t="shared" si="3"/>
        <v>5000000</v>
      </c>
      <c r="G22" s="4">
        <f t="shared" si="4"/>
        <v>0</v>
      </c>
      <c r="H22" s="6">
        <f t="shared" si="5"/>
        <v>348043274.43726695</v>
      </c>
    </row>
    <row r="23" spans="2:8" x14ac:dyDescent="0.3">
      <c r="B23">
        <v>13</v>
      </c>
      <c r="C23" s="4">
        <f t="shared" si="0"/>
        <v>3480432.7443726696</v>
      </c>
      <c r="D23" s="4">
        <f t="shared" si="1"/>
        <v>5857899.4043183839</v>
      </c>
      <c r="E23" s="4">
        <f t="shared" si="2"/>
        <v>2377466.6599457143</v>
      </c>
      <c r="F23" s="4">
        <f t="shared" si="3"/>
        <v>0</v>
      </c>
      <c r="G23" s="4">
        <f t="shared" si="4"/>
        <v>0</v>
      </c>
      <c r="H23" s="6">
        <f t="shared" si="5"/>
        <v>345665807.77732122</v>
      </c>
    </row>
    <row r="24" spans="2:8" x14ac:dyDescent="0.3">
      <c r="B24">
        <v>14</v>
      </c>
      <c r="C24" s="4">
        <f t="shared" si="0"/>
        <v>3456658.0777732125</v>
      </c>
      <c r="D24" s="4">
        <f t="shared" si="1"/>
        <v>5857899.4043183839</v>
      </c>
      <c r="E24" s="4">
        <f t="shared" si="2"/>
        <v>2401241.3265451714</v>
      </c>
      <c r="F24" s="4">
        <f t="shared" si="3"/>
        <v>0</v>
      </c>
      <c r="G24" s="4">
        <f t="shared" si="4"/>
        <v>0</v>
      </c>
      <c r="H24" s="6">
        <f t="shared" si="5"/>
        <v>343264566.45077604</v>
      </c>
    </row>
    <row r="25" spans="2:8" x14ac:dyDescent="0.3">
      <c r="B25">
        <v>15</v>
      </c>
      <c r="C25" s="4">
        <f t="shared" si="0"/>
        <v>3432645.6645077607</v>
      </c>
      <c r="D25" s="4">
        <f t="shared" si="1"/>
        <v>5857899.4043183839</v>
      </c>
      <c r="E25" s="4">
        <f t="shared" si="2"/>
        <v>2425253.7398106232</v>
      </c>
      <c r="F25" s="4">
        <f t="shared" si="3"/>
        <v>0</v>
      </c>
      <c r="G25" s="4">
        <f t="shared" si="4"/>
        <v>0</v>
      </c>
      <c r="H25" s="6">
        <f t="shared" si="5"/>
        <v>340839312.71096539</v>
      </c>
    </row>
    <row r="26" spans="2:8" x14ac:dyDescent="0.3">
      <c r="B26">
        <v>16</v>
      </c>
      <c r="C26" s="4">
        <f t="shared" si="0"/>
        <v>3408393.1271096542</v>
      </c>
      <c r="D26" s="4">
        <f t="shared" si="1"/>
        <v>5857899.4043183839</v>
      </c>
      <c r="E26" s="4">
        <f t="shared" si="2"/>
        <v>2449506.2772087296</v>
      </c>
      <c r="F26" s="4">
        <f t="shared" si="3"/>
        <v>0</v>
      </c>
      <c r="G26" s="4">
        <f t="shared" si="4"/>
        <v>0</v>
      </c>
      <c r="H26" s="6">
        <f t="shared" si="5"/>
        <v>338389806.43375665</v>
      </c>
    </row>
    <row r="27" spans="2:8" x14ac:dyDescent="0.3">
      <c r="B27">
        <v>17</v>
      </c>
      <c r="C27" s="4">
        <f t="shared" si="0"/>
        <v>3383898.0643375665</v>
      </c>
      <c r="D27" s="4">
        <f t="shared" si="1"/>
        <v>5857899.4043183839</v>
      </c>
      <c r="E27" s="4">
        <f t="shared" si="2"/>
        <v>2474001.3399808174</v>
      </c>
      <c r="F27" s="4">
        <f t="shared" si="3"/>
        <v>0</v>
      </c>
      <c r="G27" s="4">
        <f t="shared" si="4"/>
        <v>0</v>
      </c>
      <c r="H27" s="6">
        <f t="shared" si="5"/>
        <v>335915805.09377581</v>
      </c>
    </row>
    <row r="28" spans="2:8" x14ac:dyDescent="0.3">
      <c r="B28">
        <v>18</v>
      </c>
      <c r="C28" s="4">
        <f t="shared" si="0"/>
        <v>3359158.0509377583</v>
      </c>
      <c r="D28" s="4">
        <f t="shared" si="1"/>
        <v>5857899.4043183839</v>
      </c>
      <c r="E28" s="4">
        <f t="shared" si="2"/>
        <v>7498741.3533806261</v>
      </c>
      <c r="F28" s="4">
        <f t="shared" si="3"/>
        <v>5000000</v>
      </c>
      <c r="G28" s="4">
        <f t="shared" si="4"/>
        <v>0</v>
      </c>
      <c r="H28" s="6">
        <f t="shared" si="5"/>
        <v>328417063.74039519</v>
      </c>
    </row>
    <row r="29" spans="2:8" x14ac:dyDescent="0.3">
      <c r="B29">
        <v>19</v>
      </c>
      <c r="C29" s="4">
        <f t="shared" si="0"/>
        <v>3284170.637403952</v>
      </c>
      <c r="D29" s="4">
        <f t="shared" si="1"/>
        <v>5857899.4043183839</v>
      </c>
      <c r="E29" s="4">
        <f t="shared" si="2"/>
        <v>2573728.7669144319</v>
      </c>
      <c r="F29" s="4">
        <f t="shared" si="3"/>
        <v>0</v>
      </c>
      <c r="G29" s="4">
        <f t="shared" si="4"/>
        <v>0</v>
      </c>
      <c r="H29" s="6">
        <f t="shared" si="5"/>
        <v>325843334.97348076</v>
      </c>
    </row>
    <row r="30" spans="2:8" x14ac:dyDescent="0.3">
      <c r="B30">
        <v>20</v>
      </c>
      <c r="C30" s="4">
        <f t="shared" si="0"/>
        <v>3258433.3497348079</v>
      </c>
      <c r="D30" s="4">
        <f t="shared" si="1"/>
        <v>5857899.4043183839</v>
      </c>
      <c r="E30" s="4">
        <f t="shared" si="2"/>
        <v>2599466.054583576</v>
      </c>
      <c r="F30" s="4">
        <f t="shared" si="3"/>
        <v>0</v>
      </c>
      <c r="G30" s="4">
        <f t="shared" si="4"/>
        <v>0</v>
      </c>
      <c r="H30" s="6">
        <f t="shared" si="5"/>
        <v>323243868.91889721</v>
      </c>
    </row>
    <row r="31" spans="2:8" x14ac:dyDescent="0.3">
      <c r="B31">
        <v>21</v>
      </c>
      <c r="C31" s="4">
        <f t="shared" si="0"/>
        <v>3232438.6891889721</v>
      </c>
      <c r="D31" s="4">
        <f t="shared" si="1"/>
        <v>5857899.4043183839</v>
      </c>
      <c r="E31" s="4">
        <f t="shared" si="2"/>
        <v>2625460.7151294118</v>
      </c>
      <c r="F31" s="4">
        <f t="shared" si="3"/>
        <v>0</v>
      </c>
      <c r="G31" s="4">
        <f t="shared" si="4"/>
        <v>0</v>
      </c>
      <c r="H31" s="6">
        <f t="shared" si="5"/>
        <v>320618408.20376778</v>
      </c>
    </row>
    <row r="32" spans="2:8" x14ac:dyDescent="0.3">
      <c r="B32">
        <v>22</v>
      </c>
      <c r="C32" s="4">
        <f t="shared" si="0"/>
        <v>3206184.082037678</v>
      </c>
      <c r="D32" s="4">
        <f t="shared" si="1"/>
        <v>5857899.4043183839</v>
      </c>
      <c r="E32" s="4">
        <f t="shared" si="2"/>
        <v>2651715.3222807059</v>
      </c>
      <c r="F32" s="4">
        <f t="shared" si="3"/>
        <v>0</v>
      </c>
      <c r="G32" s="4">
        <f t="shared" si="4"/>
        <v>0</v>
      </c>
      <c r="H32" s="6">
        <f t="shared" si="5"/>
        <v>317966692.88148707</v>
      </c>
    </row>
    <row r="33" spans="2:8" x14ac:dyDescent="0.3">
      <c r="B33">
        <v>23</v>
      </c>
      <c r="C33" s="4">
        <f t="shared" si="0"/>
        <v>3179666.9288148708</v>
      </c>
      <c r="D33" s="4">
        <f t="shared" si="1"/>
        <v>5857899.4043183839</v>
      </c>
      <c r="E33" s="4">
        <f t="shared" si="2"/>
        <v>2678232.4755035131</v>
      </c>
      <c r="F33" s="4">
        <f t="shared" si="3"/>
        <v>0</v>
      </c>
      <c r="G33" s="4">
        <f t="shared" si="4"/>
        <v>0</v>
      </c>
      <c r="H33" s="6">
        <f t="shared" si="5"/>
        <v>315288460.40598357</v>
      </c>
    </row>
    <row r="34" spans="2:8" x14ac:dyDescent="0.3">
      <c r="B34">
        <v>24</v>
      </c>
      <c r="C34" s="4">
        <f t="shared" si="0"/>
        <v>3152884.6040598359</v>
      </c>
      <c r="D34" s="4">
        <f t="shared" si="1"/>
        <v>5857899.4043183839</v>
      </c>
      <c r="E34" s="4">
        <f t="shared" si="2"/>
        <v>7705014.800258548</v>
      </c>
      <c r="F34" s="4">
        <f t="shared" si="3"/>
        <v>5000000</v>
      </c>
      <c r="G34" s="4">
        <f t="shared" si="4"/>
        <v>0</v>
      </c>
      <c r="H34" s="6">
        <f t="shared" si="5"/>
        <v>307583445.60572499</v>
      </c>
    </row>
    <row r="35" spans="2:8" x14ac:dyDescent="0.3">
      <c r="B35">
        <v>25</v>
      </c>
      <c r="C35" s="4">
        <f t="shared" si="0"/>
        <v>3075834.45605725</v>
      </c>
      <c r="D35" s="4">
        <f t="shared" si="1"/>
        <v>5857899.4043183839</v>
      </c>
      <c r="E35" s="4">
        <f t="shared" si="2"/>
        <v>2782064.9482611339</v>
      </c>
      <c r="F35" s="4">
        <f t="shared" si="3"/>
        <v>0</v>
      </c>
      <c r="G35" s="4">
        <f t="shared" si="4"/>
        <v>0</v>
      </c>
      <c r="H35" s="6">
        <f t="shared" si="5"/>
        <v>304801380.65746385</v>
      </c>
    </row>
    <row r="36" spans="2:8" x14ac:dyDescent="0.3">
      <c r="B36">
        <v>26</v>
      </c>
      <c r="C36" s="4">
        <f t="shared" si="0"/>
        <v>3048013.8065746385</v>
      </c>
      <c r="D36" s="4">
        <f t="shared" si="1"/>
        <v>5857899.4043183839</v>
      </c>
      <c r="E36" s="4">
        <f t="shared" si="2"/>
        <v>2809885.5977437454</v>
      </c>
      <c r="F36" s="4">
        <f t="shared" si="3"/>
        <v>0</v>
      </c>
      <c r="G36" s="4">
        <f t="shared" si="4"/>
        <v>0</v>
      </c>
      <c r="H36" s="6">
        <f t="shared" si="5"/>
        <v>301991495.0597201</v>
      </c>
    </row>
    <row r="37" spans="2:8" x14ac:dyDescent="0.3">
      <c r="B37">
        <v>27</v>
      </c>
      <c r="C37" s="4">
        <f t="shared" si="0"/>
        <v>3019914.950597201</v>
      </c>
      <c r="D37" s="4">
        <f t="shared" si="1"/>
        <v>5857899.4043183839</v>
      </c>
      <c r="E37" s="4">
        <f t="shared" si="2"/>
        <v>2837984.4537211829</v>
      </c>
      <c r="F37" s="4">
        <f t="shared" si="3"/>
        <v>0</v>
      </c>
      <c r="G37" s="4">
        <f t="shared" si="4"/>
        <v>0</v>
      </c>
      <c r="H37" s="6">
        <f t="shared" si="5"/>
        <v>299153510.60599893</v>
      </c>
    </row>
    <row r="38" spans="2:8" x14ac:dyDescent="0.3">
      <c r="B38">
        <v>28</v>
      </c>
      <c r="C38" s="4">
        <f t="shared" si="0"/>
        <v>2991535.1060599894</v>
      </c>
      <c r="D38" s="4">
        <f t="shared" si="1"/>
        <v>5857899.4043183839</v>
      </c>
      <c r="E38" s="4">
        <f t="shared" si="2"/>
        <v>2866364.2982583945</v>
      </c>
      <c r="F38" s="4">
        <f t="shared" si="3"/>
        <v>0</v>
      </c>
      <c r="G38" s="4">
        <f t="shared" si="4"/>
        <v>0</v>
      </c>
      <c r="H38" s="6">
        <f t="shared" si="5"/>
        <v>296287146.30774051</v>
      </c>
    </row>
    <row r="39" spans="2:8" x14ac:dyDescent="0.3">
      <c r="B39">
        <v>29</v>
      </c>
      <c r="C39" s="4">
        <f t="shared" si="0"/>
        <v>2962871.463077405</v>
      </c>
      <c r="D39" s="4">
        <f t="shared" si="1"/>
        <v>5857899.4043183839</v>
      </c>
      <c r="E39" s="4">
        <f t="shared" si="2"/>
        <v>2895027.9412409789</v>
      </c>
      <c r="F39" s="4">
        <f t="shared" si="3"/>
        <v>0</v>
      </c>
      <c r="G39" s="4">
        <f t="shared" si="4"/>
        <v>0</v>
      </c>
      <c r="H39" s="6">
        <f t="shared" si="5"/>
        <v>293392118.36649954</v>
      </c>
    </row>
    <row r="40" spans="2:8" x14ac:dyDescent="0.3">
      <c r="B40">
        <v>30</v>
      </c>
      <c r="C40" s="4">
        <f t="shared" si="0"/>
        <v>2933921.1836649957</v>
      </c>
      <c r="D40" s="4">
        <f t="shared" si="1"/>
        <v>5857899.4043183839</v>
      </c>
      <c r="E40" s="4">
        <f t="shared" si="2"/>
        <v>7923978.2206533886</v>
      </c>
      <c r="F40" s="4">
        <f t="shared" si="3"/>
        <v>5000000</v>
      </c>
      <c r="G40" s="4">
        <f t="shared" si="4"/>
        <v>0</v>
      </c>
      <c r="H40" s="6">
        <f t="shared" si="5"/>
        <v>285468140.14584613</v>
      </c>
    </row>
    <row r="41" spans="2:8" x14ac:dyDescent="0.3">
      <c r="B41">
        <v>31</v>
      </c>
      <c r="C41" s="4">
        <f t="shared" si="0"/>
        <v>2854681.4014584613</v>
      </c>
      <c r="D41" s="4">
        <f t="shared" si="1"/>
        <v>5857899.4043183839</v>
      </c>
      <c r="E41" s="4">
        <f t="shared" si="2"/>
        <v>3003218.0028599226</v>
      </c>
      <c r="F41" s="4">
        <f t="shared" si="3"/>
        <v>0</v>
      </c>
      <c r="G41" s="4">
        <f t="shared" si="4"/>
        <v>0</v>
      </c>
      <c r="H41" s="6">
        <f t="shared" si="5"/>
        <v>282464922.14298618</v>
      </c>
    </row>
    <row r="42" spans="2:8" x14ac:dyDescent="0.3">
      <c r="B42">
        <v>32</v>
      </c>
      <c r="C42" s="4">
        <f t="shared" si="0"/>
        <v>2824649.2214298616</v>
      </c>
      <c r="D42" s="4">
        <f t="shared" si="1"/>
        <v>5857899.4043183839</v>
      </c>
      <c r="E42" s="4">
        <f t="shared" si="2"/>
        <v>3033250.1828885223</v>
      </c>
      <c r="F42" s="4">
        <f t="shared" si="3"/>
        <v>0</v>
      </c>
      <c r="G42" s="4">
        <f t="shared" si="4"/>
        <v>0</v>
      </c>
      <c r="H42" s="6">
        <f t="shared" si="5"/>
        <v>279431671.96009767</v>
      </c>
    </row>
    <row r="43" spans="2:8" x14ac:dyDescent="0.3">
      <c r="B43">
        <v>33</v>
      </c>
      <c r="C43" s="4">
        <f t="shared" si="0"/>
        <v>2794316.7196009769</v>
      </c>
      <c r="D43" s="4">
        <f t="shared" si="1"/>
        <v>5857899.4043183839</v>
      </c>
      <c r="E43" s="4">
        <f t="shared" si="2"/>
        <v>3063582.684717407</v>
      </c>
      <c r="F43" s="4">
        <f t="shared" si="3"/>
        <v>0</v>
      </c>
      <c r="G43" s="4">
        <f t="shared" si="4"/>
        <v>0</v>
      </c>
      <c r="H43" s="6">
        <f t="shared" si="5"/>
        <v>276368089.27538025</v>
      </c>
    </row>
    <row r="44" spans="2:8" x14ac:dyDescent="0.3">
      <c r="B44">
        <v>34</v>
      </c>
      <c r="C44" s="4">
        <f t="shared" si="0"/>
        <v>2763680.8927538027</v>
      </c>
      <c r="D44" s="4">
        <f t="shared" si="1"/>
        <v>5857899.4043183839</v>
      </c>
      <c r="E44" s="4">
        <f t="shared" si="2"/>
        <v>3094218.5115645812</v>
      </c>
      <c r="F44" s="4">
        <f t="shared" si="3"/>
        <v>0</v>
      </c>
      <c r="G44" s="4">
        <f t="shared" si="4"/>
        <v>0</v>
      </c>
      <c r="H44" s="6">
        <f t="shared" si="5"/>
        <v>273273870.7638157</v>
      </c>
    </row>
    <row r="45" spans="2:8" x14ac:dyDescent="0.3">
      <c r="B45">
        <v>35</v>
      </c>
      <c r="C45" s="4">
        <f t="shared" si="0"/>
        <v>2732738.7076381571</v>
      </c>
      <c r="D45" s="4">
        <f t="shared" si="1"/>
        <v>5857899.4043183839</v>
      </c>
      <c r="E45" s="4">
        <f t="shared" si="2"/>
        <v>3125160.6966802268</v>
      </c>
      <c r="F45" s="4">
        <f t="shared" si="3"/>
        <v>0</v>
      </c>
      <c r="G45" s="4">
        <f t="shared" si="4"/>
        <v>0</v>
      </c>
      <c r="H45" s="6">
        <f t="shared" si="5"/>
        <v>270148710.06713545</v>
      </c>
    </row>
    <row r="46" spans="2:8" x14ac:dyDescent="0.3">
      <c r="B46">
        <v>36</v>
      </c>
      <c r="C46" s="4">
        <f t="shared" si="0"/>
        <v>2701487.1006713547</v>
      </c>
      <c r="D46" s="4">
        <f t="shared" si="1"/>
        <v>5857899.4043183839</v>
      </c>
      <c r="E46" s="4">
        <f t="shared" si="2"/>
        <v>8156412.3036470292</v>
      </c>
      <c r="F46" s="4">
        <f t="shared" si="3"/>
        <v>5000000</v>
      </c>
      <c r="G46" s="4">
        <f t="shared" si="4"/>
        <v>0</v>
      </c>
      <c r="H46" s="6">
        <f t="shared" si="5"/>
        <v>261992297.76348841</v>
      </c>
    </row>
    <row r="47" spans="2:8" x14ac:dyDescent="0.3">
      <c r="B47">
        <v>37</v>
      </c>
      <c r="C47" s="4">
        <f t="shared" si="0"/>
        <v>2619922.977634884</v>
      </c>
      <c r="D47" s="4">
        <f t="shared" si="1"/>
        <v>5857899.4043183839</v>
      </c>
      <c r="E47" s="4">
        <f t="shared" si="2"/>
        <v>3237976.4266834999</v>
      </c>
      <c r="F47" s="4">
        <f t="shared" si="3"/>
        <v>0</v>
      </c>
      <c r="G47" s="4">
        <f t="shared" si="4"/>
        <v>0</v>
      </c>
      <c r="H47" s="6">
        <f t="shared" si="5"/>
        <v>258754321.33680493</v>
      </c>
    </row>
    <row r="48" spans="2:8" x14ac:dyDescent="0.3">
      <c r="B48">
        <v>38</v>
      </c>
      <c r="C48" s="4">
        <f t="shared" si="0"/>
        <v>2587543.2133680494</v>
      </c>
      <c r="D48" s="4">
        <f t="shared" si="1"/>
        <v>5857899.4043183839</v>
      </c>
      <c r="E48" s="4">
        <f t="shared" si="2"/>
        <v>3270356.1909503345</v>
      </c>
      <c r="F48" s="4">
        <f t="shared" si="3"/>
        <v>0</v>
      </c>
      <c r="G48" s="4">
        <f t="shared" si="4"/>
        <v>0</v>
      </c>
      <c r="H48" s="6">
        <f t="shared" si="5"/>
        <v>255483965.14585459</v>
      </c>
    </row>
    <row r="49" spans="2:8" x14ac:dyDescent="0.3">
      <c r="B49">
        <v>39</v>
      </c>
      <c r="C49" s="4">
        <f t="shared" si="0"/>
        <v>2554839.6514585461</v>
      </c>
      <c r="D49" s="4">
        <f t="shared" si="1"/>
        <v>5857899.4043183839</v>
      </c>
      <c r="E49" s="4">
        <f t="shared" si="2"/>
        <v>3303059.7528598378</v>
      </c>
      <c r="F49" s="4">
        <f t="shared" si="3"/>
        <v>0</v>
      </c>
      <c r="G49" s="4">
        <f t="shared" si="4"/>
        <v>0</v>
      </c>
      <c r="H49" s="6">
        <f t="shared" si="5"/>
        <v>252180905.39299476</v>
      </c>
    </row>
    <row r="50" spans="2:8" x14ac:dyDescent="0.3">
      <c r="B50">
        <v>40</v>
      </c>
      <c r="C50" s="4">
        <f t="shared" si="0"/>
        <v>2521809.0539299478</v>
      </c>
      <c r="D50" s="4">
        <f t="shared" si="1"/>
        <v>5857899.4043183839</v>
      </c>
      <c r="E50" s="4">
        <f t="shared" si="2"/>
        <v>3336090.3503884361</v>
      </c>
      <c r="F50" s="4">
        <f t="shared" si="3"/>
        <v>0</v>
      </c>
      <c r="G50" s="4">
        <f t="shared" si="4"/>
        <v>0</v>
      </c>
      <c r="H50" s="6">
        <f t="shared" si="5"/>
        <v>248844815.04260632</v>
      </c>
    </row>
    <row r="51" spans="2:8" x14ac:dyDescent="0.3">
      <c r="B51">
        <v>41</v>
      </c>
      <c r="C51" s="4">
        <f t="shared" si="0"/>
        <v>2488448.1504260632</v>
      </c>
      <c r="D51" s="4">
        <f t="shared" si="1"/>
        <v>5857899.4043183839</v>
      </c>
      <c r="E51" s="4">
        <f t="shared" si="2"/>
        <v>3369451.2538923207</v>
      </c>
      <c r="F51" s="4">
        <f t="shared" si="3"/>
        <v>0</v>
      </c>
      <c r="G51" s="4">
        <f t="shared" si="4"/>
        <v>0</v>
      </c>
      <c r="H51" s="6">
        <f t="shared" si="5"/>
        <v>245475363.78871399</v>
      </c>
    </row>
    <row r="52" spans="2:8" x14ac:dyDescent="0.3">
      <c r="B52">
        <v>42</v>
      </c>
      <c r="C52" s="4">
        <f t="shared" si="0"/>
        <v>2454753.6378871398</v>
      </c>
      <c r="D52" s="4">
        <f t="shared" si="1"/>
        <v>5857899.4043183839</v>
      </c>
      <c r="E52" s="4">
        <f t="shared" si="2"/>
        <v>8403145.7664312441</v>
      </c>
      <c r="F52" s="4">
        <f t="shared" si="3"/>
        <v>5000000</v>
      </c>
      <c r="G52" s="4">
        <f t="shared" si="4"/>
        <v>0</v>
      </c>
      <c r="H52" s="6">
        <f t="shared" si="5"/>
        <v>237072218.02228275</v>
      </c>
    </row>
    <row r="53" spans="2:8" x14ac:dyDescent="0.3">
      <c r="B53">
        <v>43</v>
      </c>
      <c r="C53" s="4">
        <f t="shared" si="0"/>
        <v>2370722.1802228275</v>
      </c>
      <c r="D53" s="4">
        <f t="shared" si="1"/>
        <v>5857899.4043183839</v>
      </c>
      <c r="E53" s="4">
        <f t="shared" si="2"/>
        <v>3487177.2240955564</v>
      </c>
      <c r="F53" s="4">
        <f t="shared" si="3"/>
        <v>0</v>
      </c>
      <c r="G53" s="4">
        <f t="shared" si="4"/>
        <v>0</v>
      </c>
      <c r="H53" s="6">
        <f t="shared" si="5"/>
        <v>233585040.7981872</v>
      </c>
    </row>
    <row r="54" spans="2:8" x14ac:dyDescent="0.3">
      <c r="B54">
        <v>44</v>
      </c>
      <c r="C54" s="4">
        <f t="shared" si="0"/>
        <v>2335850.4079818721</v>
      </c>
      <c r="D54" s="4">
        <f t="shared" si="1"/>
        <v>5857899.4043183839</v>
      </c>
      <c r="E54" s="4">
        <f t="shared" si="2"/>
        <v>3522048.9963365118</v>
      </c>
      <c r="F54" s="4">
        <f t="shared" si="3"/>
        <v>0</v>
      </c>
      <c r="G54" s="4">
        <f t="shared" si="4"/>
        <v>0</v>
      </c>
      <c r="H54" s="6">
        <f t="shared" si="5"/>
        <v>230062991.80185068</v>
      </c>
    </row>
    <row r="55" spans="2:8" x14ac:dyDescent="0.3">
      <c r="B55">
        <v>45</v>
      </c>
      <c r="C55" s="4">
        <f t="shared" si="0"/>
        <v>2300629.9180185068</v>
      </c>
      <c r="D55" s="4">
        <f t="shared" si="1"/>
        <v>5857899.4043183839</v>
      </c>
      <c r="E55" s="4">
        <f t="shared" si="2"/>
        <v>3557269.4862998771</v>
      </c>
      <c r="F55" s="4">
        <f t="shared" si="3"/>
        <v>0</v>
      </c>
      <c r="G55" s="4">
        <f t="shared" si="4"/>
        <v>0</v>
      </c>
      <c r="H55" s="6">
        <f t="shared" si="5"/>
        <v>226505722.3155508</v>
      </c>
    </row>
    <row r="56" spans="2:8" x14ac:dyDescent="0.3">
      <c r="B56">
        <v>46</v>
      </c>
      <c r="C56" s="4">
        <f t="shared" si="0"/>
        <v>2265057.2231555083</v>
      </c>
      <c r="D56" s="4">
        <f t="shared" si="1"/>
        <v>5857899.4043183839</v>
      </c>
      <c r="E56" s="4">
        <f t="shared" si="2"/>
        <v>3592842.1811628756</v>
      </c>
      <c r="F56" s="4">
        <f t="shared" si="3"/>
        <v>0</v>
      </c>
      <c r="G56" s="4">
        <f t="shared" si="4"/>
        <v>0</v>
      </c>
      <c r="H56" s="6">
        <f t="shared" si="5"/>
        <v>222912880.13438794</v>
      </c>
    </row>
    <row r="57" spans="2:8" x14ac:dyDescent="0.3">
      <c r="B57">
        <v>47</v>
      </c>
      <c r="C57" s="4">
        <f t="shared" si="0"/>
        <v>2229128.8013438797</v>
      </c>
      <c r="D57" s="4">
        <f t="shared" si="1"/>
        <v>5857899.4043183839</v>
      </c>
      <c r="E57" s="4">
        <f t="shared" si="2"/>
        <v>3628770.6029745042</v>
      </c>
      <c r="F57" s="4">
        <f t="shared" si="3"/>
        <v>0</v>
      </c>
      <c r="G57" s="4">
        <f t="shared" si="4"/>
        <v>0</v>
      </c>
      <c r="H57" s="6">
        <f t="shared" si="5"/>
        <v>219284109.53141344</v>
      </c>
    </row>
    <row r="58" spans="2:8" x14ac:dyDescent="0.3">
      <c r="B58">
        <v>48</v>
      </c>
      <c r="C58" s="4">
        <f t="shared" si="0"/>
        <v>2192841.0953141344</v>
      </c>
      <c r="D58" s="4">
        <f t="shared" si="1"/>
        <v>5857899.4043183839</v>
      </c>
      <c r="E58" s="4">
        <f t="shared" si="2"/>
        <v>8665058.3090042491</v>
      </c>
      <c r="F58" s="4">
        <f t="shared" si="3"/>
        <v>5000000</v>
      </c>
      <c r="G58" s="4">
        <f t="shared" si="4"/>
        <v>0</v>
      </c>
      <c r="H58" s="6">
        <f t="shared" si="5"/>
        <v>210619051.22240919</v>
      </c>
    </row>
    <row r="59" spans="2:8" x14ac:dyDescent="0.3">
      <c r="B59">
        <v>49</v>
      </c>
      <c r="C59" s="4">
        <f t="shared" si="0"/>
        <v>2106190.5122240921</v>
      </c>
      <c r="D59" s="4">
        <f t="shared" si="1"/>
        <v>5857899.4043183839</v>
      </c>
      <c r="E59" s="4">
        <f t="shared" si="2"/>
        <v>3751708.8920942917</v>
      </c>
      <c r="F59" s="4">
        <f t="shared" si="3"/>
        <v>0</v>
      </c>
      <c r="G59" s="4">
        <f t="shared" si="4"/>
        <v>0</v>
      </c>
      <c r="H59" s="6">
        <f t="shared" si="5"/>
        <v>206867342.3303149</v>
      </c>
    </row>
    <row r="60" spans="2:8" x14ac:dyDescent="0.3">
      <c r="B60">
        <v>50</v>
      </c>
      <c r="C60" s="4">
        <f t="shared" si="0"/>
        <v>2068673.4233031492</v>
      </c>
      <c r="D60" s="4">
        <f t="shared" si="1"/>
        <v>5857899.4043183839</v>
      </c>
      <c r="E60" s="4">
        <f t="shared" si="2"/>
        <v>3789225.9810152347</v>
      </c>
      <c r="F60" s="4">
        <f t="shared" si="3"/>
        <v>0</v>
      </c>
      <c r="G60" s="4">
        <f t="shared" si="4"/>
        <v>0</v>
      </c>
      <c r="H60" s="6">
        <f t="shared" si="5"/>
        <v>203078116.34929967</v>
      </c>
    </row>
    <row r="61" spans="2:8" x14ac:dyDescent="0.3">
      <c r="B61">
        <v>51</v>
      </c>
      <c r="C61" s="4">
        <f t="shared" si="0"/>
        <v>2030781.1634929967</v>
      </c>
      <c r="D61" s="4">
        <f t="shared" si="1"/>
        <v>5857899.4043183839</v>
      </c>
      <c r="E61" s="4">
        <f t="shared" si="2"/>
        <v>3827118.2408253872</v>
      </c>
      <c r="F61" s="4">
        <f t="shared" si="3"/>
        <v>0</v>
      </c>
      <c r="G61" s="4">
        <f t="shared" si="4"/>
        <v>0</v>
      </c>
      <c r="H61" s="6">
        <f t="shared" si="5"/>
        <v>199250998.10847428</v>
      </c>
    </row>
    <row r="62" spans="2:8" x14ac:dyDescent="0.3">
      <c r="B62">
        <v>52</v>
      </c>
      <c r="C62" s="4">
        <f t="shared" si="0"/>
        <v>1992509.9810847428</v>
      </c>
      <c r="D62" s="4">
        <f t="shared" si="1"/>
        <v>5857899.4043183839</v>
      </c>
      <c r="E62" s="4">
        <f t="shared" si="2"/>
        <v>3865389.4232336413</v>
      </c>
      <c r="F62" s="4">
        <f t="shared" si="3"/>
        <v>0</v>
      </c>
      <c r="G62" s="4">
        <f t="shared" si="4"/>
        <v>0</v>
      </c>
      <c r="H62" s="6">
        <f t="shared" si="5"/>
        <v>195385608.68524066</v>
      </c>
    </row>
    <row r="63" spans="2:8" x14ac:dyDescent="0.3">
      <c r="B63">
        <v>53</v>
      </c>
      <c r="C63" s="4">
        <f t="shared" si="0"/>
        <v>1953856.0868524066</v>
      </c>
      <c r="D63" s="4">
        <f t="shared" si="1"/>
        <v>5857899.4043183839</v>
      </c>
      <c r="E63" s="4">
        <f t="shared" si="2"/>
        <v>3904043.3174659773</v>
      </c>
      <c r="F63" s="4">
        <f t="shared" si="3"/>
        <v>0</v>
      </c>
      <c r="G63" s="4">
        <f t="shared" si="4"/>
        <v>0</v>
      </c>
      <c r="H63" s="6">
        <f t="shared" si="5"/>
        <v>191481565.36777467</v>
      </c>
    </row>
    <row r="64" spans="2:8" x14ac:dyDescent="0.3">
      <c r="B64">
        <v>54</v>
      </c>
      <c r="C64" s="4">
        <f t="shared" si="0"/>
        <v>1914815.6536777467</v>
      </c>
      <c r="D64" s="4">
        <f t="shared" si="1"/>
        <v>5857899.4043183839</v>
      </c>
      <c r="E64" s="4">
        <f t="shared" si="2"/>
        <v>8943083.7506406382</v>
      </c>
      <c r="F64" s="4">
        <f t="shared" si="3"/>
        <v>5000000</v>
      </c>
      <c r="G64" s="4">
        <f t="shared" si="4"/>
        <v>0</v>
      </c>
      <c r="H64" s="6">
        <f t="shared" si="5"/>
        <v>182538481.61713403</v>
      </c>
    </row>
    <row r="65" spans="2:8" x14ac:dyDescent="0.3">
      <c r="B65">
        <v>55</v>
      </c>
      <c r="C65" s="4">
        <f t="shared" si="0"/>
        <v>1825384.8161713404</v>
      </c>
      <c r="D65" s="4">
        <f t="shared" si="1"/>
        <v>5857899.4043183839</v>
      </c>
      <c r="E65" s="4">
        <f t="shared" si="2"/>
        <v>4032514.5881470433</v>
      </c>
      <c r="F65" s="4">
        <f t="shared" si="3"/>
        <v>0</v>
      </c>
      <c r="G65" s="4">
        <f t="shared" si="4"/>
        <v>0</v>
      </c>
      <c r="H65" s="6">
        <f t="shared" si="5"/>
        <v>178505967.02898699</v>
      </c>
    </row>
    <row r="66" spans="2:8" x14ac:dyDescent="0.3">
      <c r="B66">
        <v>56</v>
      </c>
      <c r="C66" s="4">
        <f t="shared" si="0"/>
        <v>1785059.6702898699</v>
      </c>
      <c r="D66" s="4">
        <f t="shared" si="1"/>
        <v>5857899.4043183839</v>
      </c>
      <c r="E66" s="4">
        <f t="shared" si="2"/>
        <v>4072839.734028514</v>
      </c>
      <c r="F66" s="4">
        <f t="shared" si="3"/>
        <v>0</v>
      </c>
      <c r="G66" s="4">
        <f t="shared" si="4"/>
        <v>0</v>
      </c>
      <c r="H66" s="6">
        <f t="shared" si="5"/>
        <v>174433127.29495847</v>
      </c>
    </row>
    <row r="67" spans="2:8" x14ac:dyDescent="0.3">
      <c r="B67">
        <v>57</v>
      </c>
      <c r="C67" s="4">
        <f t="shared" si="0"/>
        <v>1744331.2729495848</v>
      </c>
      <c r="D67" s="4">
        <f t="shared" si="1"/>
        <v>5857899.4043183839</v>
      </c>
      <c r="E67" s="4">
        <f t="shared" si="2"/>
        <v>4113568.1313687991</v>
      </c>
      <c r="F67" s="4">
        <f t="shared" si="3"/>
        <v>0</v>
      </c>
      <c r="G67" s="4">
        <f t="shared" si="4"/>
        <v>0</v>
      </c>
      <c r="H67" s="6">
        <f t="shared" si="5"/>
        <v>170319559.16358969</v>
      </c>
    </row>
    <row r="68" spans="2:8" x14ac:dyDescent="0.3">
      <c r="B68">
        <v>58</v>
      </c>
      <c r="C68" s="4">
        <f t="shared" si="0"/>
        <v>1703195.5916358968</v>
      </c>
      <c r="D68" s="4">
        <f t="shared" si="1"/>
        <v>5857899.4043183839</v>
      </c>
      <c r="E68" s="4">
        <f t="shared" si="2"/>
        <v>4154703.8126824871</v>
      </c>
      <c r="F68" s="4">
        <f t="shared" si="3"/>
        <v>0</v>
      </c>
      <c r="G68" s="4">
        <f t="shared" si="4"/>
        <v>0</v>
      </c>
      <c r="H68" s="6">
        <f t="shared" si="5"/>
        <v>166164855.35090721</v>
      </c>
    </row>
    <row r="69" spans="2:8" x14ac:dyDescent="0.3">
      <c r="B69">
        <v>59</v>
      </c>
      <c r="C69" s="4">
        <f t="shared" si="0"/>
        <v>1661648.5535090722</v>
      </c>
      <c r="D69" s="4">
        <f t="shared" si="1"/>
        <v>5857899.4043183839</v>
      </c>
      <c r="E69" s="4">
        <f t="shared" si="2"/>
        <v>4196250.8508093115</v>
      </c>
      <c r="F69" s="4">
        <f t="shared" si="3"/>
        <v>0</v>
      </c>
      <c r="G69" s="4">
        <f t="shared" si="4"/>
        <v>0</v>
      </c>
      <c r="H69" s="6">
        <f t="shared" si="5"/>
        <v>161968604.5000979</v>
      </c>
    </row>
    <row r="70" spans="2:8" x14ac:dyDescent="0.3">
      <c r="B70">
        <v>60</v>
      </c>
      <c r="C70" s="4">
        <f t="shared" si="0"/>
        <v>1619686.045000979</v>
      </c>
      <c r="D70" s="4">
        <f t="shared" si="1"/>
        <v>5857899.4043183839</v>
      </c>
      <c r="E70" s="4">
        <f t="shared" si="2"/>
        <v>9238213.3593174051</v>
      </c>
      <c r="F70" s="4">
        <f t="shared" si="3"/>
        <v>5000000</v>
      </c>
      <c r="G70" s="4">
        <f t="shared" si="4"/>
        <v>0</v>
      </c>
      <c r="H70" s="6">
        <f t="shared" si="5"/>
        <v>152730391.14078051</v>
      </c>
    </row>
    <row r="71" spans="2:8" x14ac:dyDescent="0.3">
      <c r="B71">
        <v>61</v>
      </c>
      <c r="C71" s="4">
        <f t="shared" si="0"/>
        <v>1527303.911407805</v>
      </c>
      <c r="D71" s="4">
        <f t="shared" si="1"/>
        <v>5857899.4043183839</v>
      </c>
      <c r="E71" s="4">
        <f t="shared" si="2"/>
        <v>4330595.4929105788</v>
      </c>
      <c r="F71" s="4">
        <f t="shared" si="3"/>
        <v>0</v>
      </c>
      <c r="G71" s="4">
        <f t="shared" si="4"/>
        <v>0</v>
      </c>
      <c r="H71" s="6">
        <f t="shared" si="5"/>
        <v>148399795.64786994</v>
      </c>
    </row>
    <row r="72" spans="2:8" x14ac:dyDescent="0.3">
      <c r="B72">
        <v>62</v>
      </c>
      <c r="C72" s="4">
        <f t="shared" si="0"/>
        <v>1483997.9564786996</v>
      </c>
      <c r="D72" s="4">
        <f t="shared" si="1"/>
        <v>5857899.4043183839</v>
      </c>
      <c r="E72" s="4">
        <f t="shared" si="2"/>
        <v>4373901.4478396848</v>
      </c>
      <c r="F72" s="4">
        <f t="shared" si="3"/>
        <v>0</v>
      </c>
      <c r="G72" s="4">
        <f t="shared" si="4"/>
        <v>0</v>
      </c>
      <c r="H72" s="6">
        <f t="shared" si="5"/>
        <v>144025894.20003027</v>
      </c>
    </row>
    <row r="73" spans="2:8" x14ac:dyDescent="0.3">
      <c r="B73">
        <v>63</v>
      </c>
      <c r="C73" s="4">
        <f t="shared" si="0"/>
        <v>1440258.9420003027</v>
      </c>
      <c r="D73" s="4">
        <f t="shared" si="1"/>
        <v>5857899.4043183839</v>
      </c>
      <c r="E73" s="4">
        <f t="shared" si="2"/>
        <v>4417640.4623180814</v>
      </c>
      <c r="F73" s="4">
        <f t="shared" si="3"/>
        <v>0</v>
      </c>
      <c r="G73" s="4">
        <f t="shared" si="4"/>
        <v>0</v>
      </c>
      <c r="H73" s="6">
        <f t="shared" si="5"/>
        <v>139608253.73771217</v>
      </c>
    </row>
    <row r="74" spans="2:8" x14ac:dyDescent="0.3">
      <c r="B74">
        <v>64</v>
      </c>
      <c r="C74" s="4">
        <f t="shared" si="0"/>
        <v>1396082.5373771219</v>
      </c>
      <c r="D74" s="4">
        <f t="shared" si="1"/>
        <v>5857899.4043183839</v>
      </c>
      <c r="E74" s="4">
        <f t="shared" si="2"/>
        <v>4461816.866941262</v>
      </c>
      <c r="F74" s="4">
        <f t="shared" si="3"/>
        <v>0</v>
      </c>
      <c r="G74" s="4">
        <f t="shared" si="4"/>
        <v>0</v>
      </c>
      <c r="H74" s="6">
        <f t="shared" si="5"/>
        <v>135146436.8707709</v>
      </c>
    </row>
    <row r="75" spans="2:8" x14ac:dyDescent="0.3">
      <c r="B75">
        <v>65</v>
      </c>
      <c r="C75" s="4">
        <f t="shared" si="0"/>
        <v>1351464.368707709</v>
      </c>
      <c r="D75" s="4">
        <f t="shared" si="1"/>
        <v>5857899.4043183839</v>
      </c>
      <c r="E75" s="4">
        <f t="shared" si="2"/>
        <v>4506435.0356106749</v>
      </c>
      <c r="F75" s="4">
        <f t="shared" si="3"/>
        <v>0</v>
      </c>
      <c r="G75" s="4">
        <f t="shared" si="4"/>
        <v>0</v>
      </c>
      <c r="H75" s="6">
        <f t="shared" si="5"/>
        <v>130640001.83516023</v>
      </c>
    </row>
    <row r="76" spans="2:8" x14ac:dyDescent="0.3">
      <c r="B76">
        <v>66</v>
      </c>
      <c r="C76" s="4">
        <f t="shared" ref="C76:C139" si="6">H75*$C$5</f>
        <v>1306400.0183516024</v>
      </c>
      <c r="D76" s="4">
        <f t="shared" ref="D76:D139" si="7">IF(B76&lt;=$C$6,0,$C$7)</f>
        <v>5857899.4043183839</v>
      </c>
      <c r="E76" s="4">
        <f t="shared" ref="E76:E139" si="8">D76-C76+F76+G76</f>
        <v>9551499.3859667815</v>
      </c>
      <c r="F76" s="4">
        <f t="shared" ref="F76:F139" si="9">IF(MOD(B76,$F$3)=0,$F$2,0)</f>
        <v>5000000</v>
      </c>
      <c r="G76" s="4">
        <f t="shared" ref="G76:G139" si="10">IF(B76=$C$3,$F$4*$C$2,0)</f>
        <v>0</v>
      </c>
      <c r="H76" s="6">
        <f t="shared" ref="H76:H139" si="11">H75-E76</f>
        <v>121088502.44919345</v>
      </c>
    </row>
    <row r="77" spans="2:8" x14ac:dyDescent="0.3">
      <c r="B77">
        <v>67</v>
      </c>
      <c r="C77" s="4">
        <f t="shared" si="6"/>
        <v>1210885.0244919346</v>
      </c>
      <c r="D77" s="4">
        <f t="shared" si="7"/>
        <v>5857899.4043183839</v>
      </c>
      <c r="E77" s="4">
        <f t="shared" si="8"/>
        <v>4647014.3798264489</v>
      </c>
      <c r="F77" s="4">
        <f t="shared" si="9"/>
        <v>0</v>
      </c>
      <c r="G77" s="4">
        <f t="shared" si="10"/>
        <v>0</v>
      </c>
      <c r="H77" s="6">
        <f t="shared" si="11"/>
        <v>116441488.06936699</v>
      </c>
    </row>
    <row r="78" spans="2:8" x14ac:dyDescent="0.3">
      <c r="B78">
        <v>68</v>
      </c>
      <c r="C78" s="4">
        <f t="shared" si="6"/>
        <v>1164414.8806936699</v>
      </c>
      <c r="D78" s="4">
        <f t="shared" si="7"/>
        <v>5857899.4043183839</v>
      </c>
      <c r="E78" s="4">
        <f t="shared" si="8"/>
        <v>4693484.5236247145</v>
      </c>
      <c r="F78" s="4">
        <f t="shared" si="9"/>
        <v>0</v>
      </c>
      <c r="G78" s="4">
        <f t="shared" si="10"/>
        <v>0</v>
      </c>
      <c r="H78" s="6">
        <f t="shared" si="11"/>
        <v>111748003.54574227</v>
      </c>
    </row>
    <row r="79" spans="2:8" x14ac:dyDescent="0.3">
      <c r="B79">
        <v>69</v>
      </c>
      <c r="C79" s="4">
        <f t="shared" si="6"/>
        <v>1117480.0354574227</v>
      </c>
      <c r="D79" s="4">
        <f t="shared" si="7"/>
        <v>5857899.4043183839</v>
      </c>
      <c r="E79" s="4">
        <f t="shared" si="8"/>
        <v>4740419.3688609609</v>
      </c>
      <c r="F79" s="4">
        <f t="shared" si="9"/>
        <v>0</v>
      </c>
      <c r="G79" s="4">
        <f t="shared" si="10"/>
        <v>0</v>
      </c>
      <c r="H79" s="6">
        <f t="shared" si="11"/>
        <v>107007584.17688131</v>
      </c>
    </row>
    <row r="80" spans="2:8" x14ac:dyDescent="0.3">
      <c r="B80">
        <v>70</v>
      </c>
      <c r="C80" s="4">
        <f t="shared" si="6"/>
        <v>1070075.8417688131</v>
      </c>
      <c r="D80" s="4">
        <f t="shared" si="7"/>
        <v>5857899.4043183839</v>
      </c>
      <c r="E80" s="4">
        <f t="shared" si="8"/>
        <v>4787823.5625495706</v>
      </c>
      <c r="F80" s="4">
        <f t="shared" si="9"/>
        <v>0</v>
      </c>
      <c r="G80" s="4">
        <f t="shared" si="10"/>
        <v>0</v>
      </c>
      <c r="H80" s="6">
        <f t="shared" si="11"/>
        <v>102219760.61433174</v>
      </c>
    </row>
    <row r="81" spans="2:8" x14ac:dyDescent="0.3">
      <c r="B81">
        <v>71</v>
      </c>
      <c r="C81" s="4">
        <f t="shared" si="6"/>
        <v>1022197.6061433174</v>
      </c>
      <c r="D81" s="4">
        <f t="shared" si="7"/>
        <v>5857899.4043183839</v>
      </c>
      <c r="E81" s="4">
        <f t="shared" si="8"/>
        <v>4835701.7981750667</v>
      </c>
      <c r="F81" s="4">
        <f t="shared" si="9"/>
        <v>0</v>
      </c>
      <c r="G81" s="4">
        <f t="shared" si="10"/>
        <v>0</v>
      </c>
      <c r="H81" s="6">
        <f t="shared" si="11"/>
        <v>97384058.81615667</v>
      </c>
    </row>
    <row r="82" spans="2:8" x14ac:dyDescent="0.3">
      <c r="B82">
        <v>72</v>
      </c>
      <c r="C82" s="4">
        <f t="shared" si="6"/>
        <v>973840.58816156676</v>
      </c>
      <c r="D82" s="4">
        <f t="shared" si="7"/>
        <v>5857899.4043183839</v>
      </c>
      <c r="E82" s="4">
        <f t="shared" si="8"/>
        <v>97384058.816156819</v>
      </c>
      <c r="F82" s="4">
        <f t="shared" si="9"/>
        <v>5000000</v>
      </c>
      <c r="G82" s="4">
        <f t="shared" si="10"/>
        <v>87500000</v>
      </c>
      <c r="H82" s="6">
        <f t="shared" si="11"/>
        <v>-1.4901161193847656E-7</v>
      </c>
    </row>
    <row r="83" spans="2:8" x14ac:dyDescent="0.3">
      <c r="B83">
        <v>73</v>
      </c>
      <c r="C83" s="4">
        <f t="shared" si="6"/>
        <v>-1.4901161193847657E-9</v>
      </c>
      <c r="D83" s="4">
        <f t="shared" si="7"/>
        <v>5857899.4043183839</v>
      </c>
      <c r="E83" s="4">
        <f t="shared" si="8"/>
        <v>5857899.4043183858</v>
      </c>
      <c r="F83" s="4">
        <f t="shared" si="9"/>
        <v>0</v>
      </c>
      <c r="G83" s="4">
        <f t="shared" si="10"/>
        <v>0</v>
      </c>
      <c r="H83" s="6">
        <f t="shared" si="11"/>
        <v>-5857899.4043185348</v>
      </c>
    </row>
    <row r="84" spans="2:8" x14ac:dyDescent="0.3">
      <c r="B84">
        <v>74</v>
      </c>
      <c r="C84" s="4">
        <f t="shared" si="6"/>
        <v>-58578.994043185347</v>
      </c>
      <c r="D84" s="4">
        <f t="shared" si="7"/>
        <v>5857899.4043183839</v>
      </c>
      <c r="E84" s="4">
        <f t="shared" si="8"/>
        <v>5916478.3983615693</v>
      </c>
      <c r="F84" s="4">
        <f t="shared" si="9"/>
        <v>0</v>
      </c>
      <c r="G84" s="4">
        <f t="shared" si="10"/>
        <v>0</v>
      </c>
      <c r="H84" s="6">
        <f t="shared" si="11"/>
        <v>-11774377.802680105</v>
      </c>
    </row>
    <row r="85" spans="2:8" x14ac:dyDescent="0.3">
      <c r="B85">
        <v>75</v>
      </c>
      <c r="C85" s="4">
        <f t="shared" si="6"/>
        <v>-117743.77802680105</v>
      </c>
      <c r="D85" s="4">
        <f t="shared" si="7"/>
        <v>5857899.4043183839</v>
      </c>
      <c r="E85" s="4">
        <f t="shared" si="8"/>
        <v>5975643.1823451845</v>
      </c>
      <c r="F85" s="4">
        <f t="shared" si="9"/>
        <v>0</v>
      </c>
      <c r="G85" s="4">
        <f t="shared" si="10"/>
        <v>0</v>
      </c>
      <c r="H85" s="6">
        <f t="shared" si="11"/>
        <v>-17750020.98502529</v>
      </c>
    </row>
    <row r="86" spans="2:8" x14ac:dyDescent="0.3">
      <c r="B86">
        <v>76</v>
      </c>
      <c r="C86" s="4">
        <f t="shared" si="6"/>
        <v>-177500.2098502529</v>
      </c>
      <c r="D86" s="4">
        <f t="shared" si="7"/>
        <v>5857899.4043183839</v>
      </c>
      <c r="E86" s="4">
        <f t="shared" si="8"/>
        <v>6035399.6141686365</v>
      </c>
      <c r="F86" s="4">
        <f t="shared" si="9"/>
        <v>0</v>
      </c>
      <c r="G86" s="4">
        <f t="shared" si="10"/>
        <v>0</v>
      </c>
      <c r="H86" s="6">
        <f t="shared" si="11"/>
        <v>-23785420.599193927</v>
      </c>
    </row>
    <row r="87" spans="2:8" x14ac:dyDescent="0.3">
      <c r="B87">
        <v>77</v>
      </c>
      <c r="C87" s="4">
        <f t="shared" si="6"/>
        <v>-237854.20599193926</v>
      </c>
      <c r="D87" s="4">
        <f t="shared" si="7"/>
        <v>5857899.4043183839</v>
      </c>
      <c r="E87" s="4">
        <f t="shared" si="8"/>
        <v>6095753.6103103235</v>
      </c>
      <c r="F87" s="4">
        <f t="shared" si="9"/>
        <v>0</v>
      </c>
      <c r="G87" s="4">
        <f t="shared" si="10"/>
        <v>0</v>
      </c>
      <c r="H87" s="6">
        <f t="shared" si="11"/>
        <v>-29881174.20950425</v>
      </c>
    </row>
    <row r="88" spans="2:8" x14ac:dyDescent="0.3">
      <c r="B88">
        <v>78</v>
      </c>
      <c r="C88" s="4">
        <f t="shared" si="6"/>
        <v>-298811.74209504249</v>
      </c>
      <c r="D88" s="4">
        <f t="shared" si="7"/>
        <v>5857899.4043183839</v>
      </c>
      <c r="E88" s="4">
        <f t="shared" si="8"/>
        <v>11156711.146413427</v>
      </c>
      <c r="F88" s="4">
        <f t="shared" si="9"/>
        <v>5000000</v>
      </c>
      <c r="G88" s="4">
        <f t="shared" si="10"/>
        <v>0</v>
      </c>
      <c r="H88" s="6">
        <f t="shared" si="11"/>
        <v>-41037885.355917677</v>
      </c>
    </row>
    <row r="89" spans="2:8" x14ac:dyDescent="0.3">
      <c r="B89">
        <v>79</v>
      </c>
      <c r="C89" s="4">
        <f t="shared" si="6"/>
        <v>-410378.85355917679</v>
      </c>
      <c r="D89" s="4">
        <f t="shared" si="7"/>
        <v>5857899.4043183839</v>
      </c>
      <c r="E89" s="4">
        <f t="shared" si="8"/>
        <v>6268278.2578775603</v>
      </c>
      <c r="F89" s="4">
        <f t="shared" si="9"/>
        <v>0</v>
      </c>
      <c r="G89" s="4">
        <f t="shared" si="10"/>
        <v>0</v>
      </c>
      <c r="H89" s="6">
        <f t="shared" si="11"/>
        <v>-47306163.613795236</v>
      </c>
    </row>
    <row r="90" spans="2:8" x14ac:dyDescent="0.3">
      <c r="B90">
        <v>80</v>
      </c>
      <c r="C90" s="4">
        <f t="shared" si="6"/>
        <v>-473061.63613795239</v>
      </c>
      <c r="D90" s="4">
        <f t="shared" si="7"/>
        <v>5857899.4043183839</v>
      </c>
      <c r="E90" s="4">
        <f t="shared" si="8"/>
        <v>6330961.040456336</v>
      </c>
      <c r="F90" s="4">
        <f t="shared" si="9"/>
        <v>0</v>
      </c>
      <c r="G90" s="4">
        <f t="shared" si="10"/>
        <v>0</v>
      </c>
      <c r="H90" s="6">
        <f t="shared" si="11"/>
        <v>-53637124.654251575</v>
      </c>
    </row>
    <row r="91" spans="2:8" x14ac:dyDescent="0.3">
      <c r="B91">
        <v>81</v>
      </c>
      <c r="C91" s="4">
        <f t="shared" si="6"/>
        <v>-536371.24654251582</v>
      </c>
      <c r="D91" s="4">
        <f t="shared" si="7"/>
        <v>5857899.4043183839</v>
      </c>
      <c r="E91" s="4">
        <f t="shared" si="8"/>
        <v>6394270.6508609001</v>
      </c>
      <c r="F91" s="4">
        <f t="shared" si="9"/>
        <v>0</v>
      </c>
      <c r="G91" s="4">
        <f t="shared" si="10"/>
        <v>0</v>
      </c>
      <c r="H91" s="6">
        <f t="shared" si="11"/>
        <v>-60031395.305112474</v>
      </c>
    </row>
    <row r="92" spans="2:8" x14ac:dyDescent="0.3">
      <c r="B92">
        <v>82</v>
      </c>
      <c r="C92" s="4">
        <f t="shared" si="6"/>
        <v>-600313.9530511247</v>
      </c>
      <c r="D92" s="4">
        <f t="shared" si="7"/>
        <v>5857899.4043183839</v>
      </c>
      <c r="E92" s="4">
        <f t="shared" si="8"/>
        <v>6458213.3573695086</v>
      </c>
      <c r="F92" s="4">
        <f t="shared" si="9"/>
        <v>0</v>
      </c>
      <c r="G92" s="4">
        <f t="shared" si="10"/>
        <v>0</v>
      </c>
      <c r="H92" s="6">
        <f t="shared" si="11"/>
        <v>-66489608.662481979</v>
      </c>
    </row>
    <row r="93" spans="2:8" x14ac:dyDescent="0.3">
      <c r="B93">
        <v>83</v>
      </c>
      <c r="C93" s="4">
        <f t="shared" si="6"/>
        <v>-664896.08662481979</v>
      </c>
      <c r="D93" s="4">
        <f t="shared" si="7"/>
        <v>5857899.4043183839</v>
      </c>
      <c r="E93" s="4">
        <f t="shared" si="8"/>
        <v>6522795.4909432037</v>
      </c>
      <c r="F93" s="4">
        <f t="shared" si="9"/>
        <v>0</v>
      </c>
      <c r="G93" s="4">
        <f t="shared" si="10"/>
        <v>0</v>
      </c>
      <c r="H93" s="6">
        <f t="shared" si="11"/>
        <v>-73012404.153425187</v>
      </c>
    </row>
    <row r="94" spans="2:8" x14ac:dyDescent="0.3">
      <c r="B94">
        <v>84</v>
      </c>
      <c r="C94" s="4">
        <f t="shared" si="6"/>
        <v>-730124.04153425188</v>
      </c>
      <c r="D94" s="4">
        <f t="shared" si="7"/>
        <v>5857899.4043183839</v>
      </c>
      <c r="E94" s="4">
        <f t="shared" si="8"/>
        <v>11588023.445852635</v>
      </c>
      <c r="F94" s="4">
        <f t="shared" si="9"/>
        <v>5000000</v>
      </c>
      <c r="G94" s="4">
        <f t="shared" si="10"/>
        <v>0</v>
      </c>
      <c r="H94" s="6">
        <f t="shared" si="11"/>
        <v>-84600427.599277824</v>
      </c>
    </row>
    <row r="95" spans="2:8" x14ac:dyDescent="0.3">
      <c r="B95">
        <v>85</v>
      </c>
      <c r="C95" s="4">
        <f t="shared" si="6"/>
        <v>-846004.27599277825</v>
      </c>
      <c r="D95" s="4">
        <f t="shared" si="7"/>
        <v>5857899.4043183839</v>
      </c>
      <c r="E95" s="4">
        <f t="shared" si="8"/>
        <v>6703903.680311162</v>
      </c>
      <c r="F95" s="4">
        <f t="shared" si="9"/>
        <v>0</v>
      </c>
      <c r="G95" s="4">
        <f t="shared" si="10"/>
        <v>0</v>
      </c>
      <c r="H95" s="6">
        <f t="shared" si="11"/>
        <v>-91304331.279588982</v>
      </c>
    </row>
    <row r="96" spans="2:8" x14ac:dyDescent="0.3">
      <c r="B96">
        <v>86</v>
      </c>
      <c r="C96" s="4">
        <f t="shared" si="6"/>
        <v>-913043.3127958898</v>
      </c>
      <c r="D96" s="4">
        <f t="shared" si="7"/>
        <v>5857899.4043183839</v>
      </c>
      <c r="E96" s="4">
        <f t="shared" si="8"/>
        <v>6770942.7171142735</v>
      </c>
      <c r="F96" s="4">
        <f t="shared" si="9"/>
        <v>0</v>
      </c>
      <c r="G96" s="4">
        <f t="shared" si="10"/>
        <v>0</v>
      </c>
      <c r="H96" s="6">
        <f t="shared" si="11"/>
        <v>-98075273.996703252</v>
      </c>
    </row>
    <row r="97" spans="2:8" x14ac:dyDescent="0.3">
      <c r="B97">
        <v>87</v>
      </c>
      <c r="C97" s="4">
        <f t="shared" si="6"/>
        <v>-980752.73996703257</v>
      </c>
      <c r="D97" s="4">
        <f t="shared" si="7"/>
        <v>5857899.4043183839</v>
      </c>
      <c r="E97" s="4">
        <f t="shared" si="8"/>
        <v>6838652.1442854162</v>
      </c>
      <c r="F97" s="4">
        <f t="shared" si="9"/>
        <v>0</v>
      </c>
      <c r="G97" s="4">
        <f t="shared" si="10"/>
        <v>0</v>
      </c>
      <c r="H97" s="6">
        <f t="shared" si="11"/>
        <v>-104913926.14098866</v>
      </c>
    </row>
    <row r="98" spans="2:8" x14ac:dyDescent="0.3">
      <c r="B98">
        <v>88</v>
      </c>
      <c r="C98" s="4">
        <f t="shared" si="6"/>
        <v>-1049139.2614098866</v>
      </c>
      <c r="D98" s="4">
        <f t="shared" si="7"/>
        <v>5857899.4043183839</v>
      </c>
      <c r="E98" s="4">
        <f t="shared" si="8"/>
        <v>6907038.665728271</v>
      </c>
      <c r="F98" s="4">
        <f t="shared" si="9"/>
        <v>0</v>
      </c>
      <c r="G98" s="4">
        <f t="shared" si="10"/>
        <v>0</v>
      </c>
      <c r="H98" s="6">
        <f t="shared" si="11"/>
        <v>-111820964.80671693</v>
      </c>
    </row>
    <row r="99" spans="2:8" x14ac:dyDescent="0.3">
      <c r="B99">
        <v>89</v>
      </c>
      <c r="C99" s="4">
        <f t="shared" si="6"/>
        <v>-1118209.6480671694</v>
      </c>
      <c r="D99" s="4">
        <f t="shared" si="7"/>
        <v>5857899.4043183839</v>
      </c>
      <c r="E99" s="4">
        <f t="shared" si="8"/>
        <v>6976109.0523855537</v>
      </c>
      <c r="F99" s="4">
        <f t="shared" si="9"/>
        <v>0</v>
      </c>
      <c r="G99" s="4">
        <f t="shared" si="10"/>
        <v>0</v>
      </c>
      <c r="H99" s="6">
        <f t="shared" si="11"/>
        <v>-118797073.85910249</v>
      </c>
    </row>
    <row r="100" spans="2:8" x14ac:dyDescent="0.3">
      <c r="B100">
        <v>90</v>
      </c>
      <c r="C100" s="4">
        <f t="shared" si="6"/>
        <v>-1187970.7385910249</v>
      </c>
      <c r="D100" s="4">
        <f t="shared" si="7"/>
        <v>5857899.4043183839</v>
      </c>
      <c r="E100" s="4">
        <f t="shared" si="8"/>
        <v>12045870.142909408</v>
      </c>
      <c r="F100" s="4">
        <f t="shared" si="9"/>
        <v>5000000</v>
      </c>
      <c r="G100" s="4">
        <f t="shared" si="10"/>
        <v>0</v>
      </c>
      <c r="H100" s="6">
        <f t="shared" si="11"/>
        <v>-130842944.0020119</v>
      </c>
    </row>
    <row r="101" spans="2:8" x14ac:dyDescent="0.3">
      <c r="B101">
        <v>91</v>
      </c>
      <c r="C101" s="4">
        <f t="shared" si="6"/>
        <v>-1308429.4400201191</v>
      </c>
      <c r="D101" s="4">
        <f t="shared" si="7"/>
        <v>5857899.4043183839</v>
      </c>
      <c r="E101" s="4">
        <f t="shared" si="8"/>
        <v>7166328.8443385027</v>
      </c>
      <c r="F101" s="4">
        <f t="shared" si="9"/>
        <v>0</v>
      </c>
      <c r="G101" s="4">
        <f t="shared" si="10"/>
        <v>0</v>
      </c>
      <c r="H101" s="6">
        <f t="shared" si="11"/>
        <v>-138009272.8463504</v>
      </c>
    </row>
    <row r="102" spans="2:8" x14ac:dyDescent="0.3">
      <c r="B102">
        <v>92</v>
      </c>
      <c r="C102" s="4">
        <f t="shared" si="6"/>
        <v>-1380092.728463504</v>
      </c>
      <c r="D102" s="4">
        <f t="shared" si="7"/>
        <v>5857899.4043183839</v>
      </c>
      <c r="E102" s="4">
        <f t="shared" si="8"/>
        <v>7237992.1327818874</v>
      </c>
      <c r="F102" s="4">
        <f t="shared" si="9"/>
        <v>0</v>
      </c>
      <c r="G102" s="4">
        <f t="shared" si="10"/>
        <v>0</v>
      </c>
      <c r="H102" s="6">
        <f t="shared" si="11"/>
        <v>-145247264.97913229</v>
      </c>
    </row>
    <row r="103" spans="2:8" x14ac:dyDescent="0.3">
      <c r="B103">
        <v>93</v>
      </c>
      <c r="C103" s="4">
        <f t="shared" si="6"/>
        <v>-1452472.6497913229</v>
      </c>
      <c r="D103" s="4">
        <f t="shared" si="7"/>
        <v>5857899.4043183839</v>
      </c>
      <c r="E103" s="4">
        <f t="shared" si="8"/>
        <v>7310372.0541097065</v>
      </c>
      <c r="F103" s="4">
        <f t="shared" si="9"/>
        <v>0</v>
      </c>
      <c r="G103" s="4">
        <f t="shared" si="10"/>
        <v>0</v>
      </c>
      <c r="H103" s="6">
        <f t="shared" si="11"/>
        <v>-152557637.03324199</v>
      </c>
    </row>
    <row r="104" spans="2:8" x14ac:dyDescent="0.3">
      <c r="B104">
        <v>94</v>
      </c>
      <c r="C104" s="4">
        <f t="shared" si="6"/>
        <v>-1525576.3703324199</v>
      </c>
      <c r="D104" s="4">
        <f t="shared" si="7"/>
        <v>5857899.4043183839</v>
      </c>
      <c r="E104" s="4">
        <f t="shared" si="8"/>
        <v>7383475.7746508038</v>
      </c>
      <c r="F104" s="4">
        <f t="shared" si="9"/>
        <v>0</v>
      </c>
      <c r="G104" s="4">
        <f t="shared" si="10"/>
        <v>0</v>
      </c>
      <c r="H104" s="6">
        <f t="shared" si="11"/>
        <v>-159941112.8078928</v>
      </c>
    </row>
    <row r="105" spans="2:8" x14ac:dyDescent="0.3">
      <c r="B105">
        <v>95</v>
      </c>
      <c r="C105" s="4">
        <f t="shared" si="6"/>
        <v>-1599411.128078928</v>
      </c>
      <c r="D105" s="4">
        <f t="shared" si="7"/>
        <v>5857899.4043183839</v>
      </c>
      <c r="E105" s="4">
        <f t="shared" si="8"/>
        <v>7457310.5323973121</v>
      </c>
      <c r="F105" s="4">
        <f t="shared" si="9"/>
        <v>0</v>
      </c>
      <c r="G105" s="4">
        <f t="shared" si="10"/>
        <v>0</v>
      </c>
      <c r="H105" s="6">
        <f t="shared" si="11"/>
        <v>-167398423.3402901</v>
      </c>
    </row>
    <row r="106" spans="2:8" x14ac:dyDescent="0.3">
      <c r="B106">
        <v>96</v>
      </c>
      <c r="C106" s="4">
        <f t="shared" si="6"/>
        <v>-1673984.2334029011</v>
      </c>
      <c r="D106" s="4">
        <f t="shared" si="7"/>
        <v>5857899.4043183839</v>
      </c>
      <c r="E106" s="4">
        <f t="shared" si="8"/>
        <v>12531883.637721285</v>
      </c>
      <c r="F106" s="4">
        <f t="shared" si="9"/>
        <v>5000000</v>
      </c>
      <c r="G106" s="4">
        <f t="shared" si="10"/>
        <v>0</v>
      </c>
      <c r="H106" s="6">
        <f t="shared" si="11"/>
        <v>-179930306.97801137</v>
      </c>
    </row>
    <row r="107" spans="2:8" x14ac:dyDescent="0.3">
      <c r="B107">
        <v>97</v>
      </c>
      <c r="C107" s="4">
        <f t="shared" si="6"/>
        <v>-1799303.0697801136</v>
      </c>
      <c r="D107" s="4">
        <f t="shared" si="7"/>
        <v>5857899.4043183839</v>
      </c>
      <c r="E107" s="4">
        <f t="shared" si="8"/>
        <v>7657202.474098498</v>
      </c>
      <c r="F107" s="4">
        <f t="shared" si="9"/>
        <v>0</v>
      </c>
      <c r="G107" s="4">
        <f t="shared" si="10"/>
        <v>0</v>
      </c>
      <c r="H107" s="6">
        <f t="shared" si="11"/>
        <v>-187587509.45210987</v>
      </c>
    </row>
    <row r="108" spans="2:8" x14ac:dyDescent="0.3">
      <c r="B108">
        <v>98</v>
      </c>
      <c r="C108" s="4">
        <f t="shared" si="6"/>
        <v>-1875875.0945210988</v>
      </c>
      <c r="D108" s="4">
        <f t="shared" si="7"/>
        <v>5857899.4043183839</v>
      </c>
      <c r="E108" s="4">
        <f t="shared" si="8"/>
        <v>7733774.4988394827</v>
      </c>
      <c r="F108" s="4">
        <f t="shared" si="9"/>
        <v>0</v>
      </c>
      <c r="G108" s="4">
        <f t="shared" si="10"/>
        <v>0</v>
      </c>
      <c r="H108" s="6">
        <f t="shared" si="11"/>
        <v>-195321283.95094937</v>
      </c>
    </row>
    <row r="109" spans="2:8" x14ac:dyDescent="0.3">
      <c r="B109">
        <v>99</v>
      </c>
      <c r="C109" s="4">
        <f t="shared" si="6"/>
        <v>-1953212.8395094937</v>
      </c>
      <c r="D109" s="4">
        <f t="shared" si="7"/>
        <v>5857899.4043183839</v>
      </c>
      <c r="E109" s="4">
        <f t="shared" si="8"/>
        <v>7811112.2438278776</v>
      </c>
      <c r="F109" s="4">
        <f t="shared" si="9"/>
        <v>0</v>
      </c>
      <c r="G109" s="4">
        <f t="shared" si="10"/>
        <v>0</v>
      </c>
      <c r="H109" s="6">
        <f t="shared" si="11"/>
        <v>-203132396.19477725</v>
      </c>
    </row>
    <row r="110" spans="2:8" x14ac:dyDescent="0.3">
      <c r="B110">
        <v>100</v>
      </c>
      <c r="C110" s="4">
        <f t="shared" si="6"/>
        <v>-2031323.9619477727</v>
      </c>
      <c r="D110" s="4">
        <f t="shared" si="7"/>
        <v>5857899.4043183839</v>
      </c>
      <c r="E110" s="4">
        <f t="shared" si="8"/>
        <v>7889223.3662661565</v>
      </c>
      <c r="F110" s="4">
        <f t="shared" si="9"/>
        <v>0</v>
      </c>
      <c r="G110" s="4">
        <f t="shared" si="10"/>
        <v>0</v>
      </c>
      <c r="H110" s="6">
        <f t="shared" si="11"/>
        <v>-211021619.56104341</v>
      </c>
    </row>
    <row r="111" spans="2:8" x14ac:dyDescent="0.3">
      <c r="B111">
        <v>101</v>
      </c>
      <c r="C111" s="4">
        <f t="shared" si="6"/>
        <v>-2110216.1956104343</v>
      </c>
      <c r="D111" s="4">
        <f t="shared" si="7"/>
        <v>5857899.4043183839</v>
      </c>
      <c r="E111" s="4">
        <f t="shared" si="8"/>
        <v>7968115.5999288186</v>
      </c>
      <c r="F111" s="4">
        <f t="shared" si="9"/>
        <v>0</v>
      </c>
      <c r="G111" s="4">
        <f t="shared" si="10"/>
        <v>0</v>
      </c>
      <c r="H111" s="6">
        <f t="shared" si="11"/>
        <v>-218989735.16097224</v>
      </c>
    </row>
    <row r="112" spans="2:8" x14ac:dyDescent="0.3">
      <c r="B112">
        <v>102</v>
      </c>
      <c r="C112" s="4">
        <f t="shared" si="6"/>
        <v>-2189897.3516097222</v>
      </c>
      <c r="D112" s="4">
        <f t="shared" si="7"/>
        <v>5857899.4043183839</v>
      </c>
      <c r="E112" s="4">
        <f t="shared" si="8"/>
        <v>13047796.755928107</v>
      </c>
      <c r="F112" s="4">
        <f t="shared" si="9"/>
        <v>5000000</v>
      </c>
      <c r="G112" s="4">
        <f t="shared" si="10"/>
        <v>0</v>
      </c>
      <c r="H112" s="6">
        <f t="shared" si="11"/>
        <v>-232037531.91690034</v>
      </c>
    </row>
    <row r="113" spans="2:8" x14ac:dyDescent="0.3">
      <c r="B113">
        <v>103</v>
      </c>
      <c r="C113" s="4">
        <f t="shared" si="6"/>
        <v>-2320375.3191690035</v>
      </c>
      <c r="D113" s="4">
        <f t="shared" si="7"/>
        <v>5857899.4043183839</v>
      </c>
      <c r="E113" s="4">
        <f t="shared" si="8"/>
        <v>8178274.7234873874</v>
      </c>
      <c r="F113" s="4">
        <f t="shared" si="9"/>
        <v>0</v>
      </c>
      <c r="G113" s="4">
        <f t="shared" si="10"/>
        <v>0</v>
      </c>
      <c r="H113" s="6">
        <f t="shared" si="11"/>
        <v>-240215806.64038771</v>
      </c>
    </row>
    <row r="114" spans="2:8" x14ac:dyDescent="0.3">
      <c r="B114">
        <v>104</v>
      </c>
      <c r="C114" s="4">
        <f t="shared" si="6"/>
        <v>-2402158.066403877</v>
      </c>
      <c r="D114" s="4">
        <f t="shared" si="7"/>
        <v>5857899.4043183839</v>
      </c>
      <c r="E114" s="4">
        <f t="shared" si="8"/>
        <v>8260057.4707222609</v>
      </c>
      <c r="F114" s="4">
        <f t="shared" si="9"/>
        <v>0</v>
      </c>
      <c r="G114" s="4">
        <f t="shared" si="10"/>
        <v>0</v>
      </c>
      <c r="H114" s="6">
        <f t="shared" si="11"/>
        <v>-248475864.11110997</v>
      </c>
    </row>
    <row r="115" spans="2:8" x14ac:dyDescent="0.3">
      <c r="B115">
        <v>105</v>
      </c>
      <c r="C115" s="4">
        <f t="shared" si="6"/>
        <v>-2484758.6411110996</v>
      </c>
      <c r="D115" s="4">
        <f t="shared" si="7"/>
        <v>5857899.4043183839</v>
      </c>
      <c r="E115" s="4">
        <f t="shared" si="8"/>
        <v>8342658.0454294831</v>
      </c>
      <c r="F115" s="4">
        <f t="shared" si="9"/>
        <v>0</v>
      </c>
      <c r="G115" s="4">
        <f t="shared" si="10"/>
        <v>0</v>
      </c>
      <c r="H115" s="6">
        <f t="shared" si="11"/>
        <v>-256818522.15653944</v>
      </c>
    </row>
    <row r="116" spans="2:8" x14ac:dyDescent="0.3">
      <c r="B116">
        <v>106</v>
      </c>
      <c r="C116" s="4">
        <f t="shared" si="6"/>
        <v>-2568185.2215653947</v>
      </c>
      <c r="D116" s="4">
        <f t="shared" si="7"/>
        <v>5857899.4043183839</v>
      </c>
      <c r="E116" s="4">
        <f t="shared" si="8"/>
        <v>8426084.6258837786</v>
      </c>
      <c r="F116" s="4">
        <f t="shared" si="9"/>
        <v>0</v>
      </c>
      <c r="G116" s="4">
        <f t="shared" si="10"/>
        <v>0</v>
      </c>
      <c r="H116" s="6">
        <f t="shared" si="11"/>
        <v>-265244606.78242323</v>
      </c>
    </row>
    <row r="117" spans="2:8" x14ac:dyDescent="0.3">
      <c r="B117">
        <v>107</v>
      </c>
      <c r="C117" s="4">
        <f t="shared" si="6"/>
        <v>-2652446.0678242324</v>
      </c>
      <c r="D117" s="4">
        <f t="shared" si="7"/>
        <v>5857899.4043183839</v>
      </c>
      <c r="E117" s="4">
        <f t="shared" si="8"/>
        <v>8510345.4721426163</v>
      </c>
      <c r="F117" s="4">
        <f t="shared" si="9"/>
        <v>0</v>
      </c>
      <c r="G117" s="4">
        <f t="shared" si="10"/>
        <v>0</v>
      </c>
      <c r="H117" s="6">
        <f t="shared" si="11"/>
        <v>-273754952.25456583</v>
      </c>
    </row>
    <row r="118" spans="2:8" x14ac:dyDescent="0.3">
      <c r="B118">
        <v>108</v>
      </c>
      <c r="C118" s="4">
        <f t="shared" si="6"/>
        <v>-2737549.5225456585</v>
      </c>
      <c r="D118" s="4">
        <f t="shared" si="7"/>
        <v>5857899.4043183839</v>
      </c>
      <c r="E118" s="4">
        <f t="shared" si="8"/>
        <v>13595448.926864043</v>
      </c>
      <c r="F118" s="4">
        <f t="shared" si="9"/>
        <v>5000000</v>
      </c>
      <c r="G118" s="4">
        <f t="shared" si="10"/>
        <v>0</v>
      </c>
      <c r="H118" s="6">
        <f t="shared" si="11"/>
        <v>-287350401.18142986</v>
      </c>
    </row>
    <row r="119" spans="2:8" x14ac:dyDescent="0.3">
      <c r="B119">
        <v>109</v>
      </c>
      <c r="C119" s="4">
        <f t="shared" si="6"/>
        <v>-2873504.0118142986</v>
      </c>
      <c r="D119" s="4">
        <f t="shared" si="7"/>
        <v>5857899.4043183839</v>
      </c>
      <c r="E119" s="4">
        <f t="shared" si="8"/>
        <v>8731403.4161326829</v>
      </c>
      <c r="F119" s="4">
        <f t="shared" si="9"/>
        <v>0</v>
      </c>
      <c r="G119" s="4">
        <f t="shared" si="10"/>
        <v>0</v>
      </c>
      <c r="H119" s="6">
        <f t="shared" si="11"/>
        <v>-296081804.59756255</v>
      </c>
    </row>
    <row r="120" spans="2:8" x14ac:dyDescent="0.3">
      <c r="B120">
        <v>110</v>
      </c>
      <c r="C120" s="4">
        <f t="shared" si="6"/>
        <v>-2960818.0459756255</v>
      </c>
      <c r="D120" s="4">
        <f t="shared" si="7"/>
        <v>5857899.4043183839</v>
      </c>
      <c r="E120" s="4">
        <f t="shared" si="8"/>
        <v>8818717.4502940103</v>
      </c>
      <c r="F120" s="4">
        <f t="shared" si="9"/>
        <v>0</v>
      </c>
      <c r="G120" s="4">
        <f t="shared" si="10"/>
        <v>0</v>
      </c>
      <c r="H120" s="6">
        <f t="shared" si="11"/>
        <v>-304900522.04785657</v>
      </c>
    </row>
    <row r="121" spans="2:8" x14ac:dyDescent="0.3">
      <c r="B121">
        <v>111</v>
      </c>
      <c r="C121" s="4">
        <f t="shared" si="6"/>
        <v>-3049005.2204785659</v>
      </c>
      <c r="D121" s="4">
        <f t="shared" si="7"/>
        <v>5857899.4043183839</v>
      </c>
      <c r="E121" s="4">
        <f t="shared" si="8"/>
        <v>8906904.6247969493</v>
      </c>
      <c r="F121" s="4">
        <f t="shared" si="9"/>
        <v>0</v>
      </c>
      <c r="G121" s="4">
        <f t="shared" si="10"/>
        <v>0</v>
      </c>
      <c r="H121" s="6">
        <f t="shared" si="11"/>
        <v>-313807426.6726535</v>
      </c>
    </row>
    <row r="122" spans="2:8" x14ac:dyDescent="0.3">
      <c r="B122">
        <v>112</v>
      </c>
      <c r="C122" s="4">
        <f t="shared" si="6"/>
        <v>-3138074.2667265348</v>
      </c>
      <c r="D122" s="4">
        <f t="shared" si="7"/>
        <v>5857899.4043183839</v>
      </c>
      <c r="E122" s="4">
        <f t="shared" si="8"/>
        <v>8995973.6710449196</v>
      </c>
      <c r="F122" s="4">
        <f t="shared" si="9"/>
        <v>0</v>
      </c>
      <c r="G122" s="4">
        <f t="shared" si="10"/>
        <v>0</v>
      </c>
      <c r="H122" s="6">
        <f t="shared" si="11"/>
        <v>-322803400.34369844</v>
      </c>
    </row>
    <row r="123" spans="2:8" x14ac:dyDescent="0.3">
      <c r="B123">
        <v>113</v>
      </c>
      <c r="C123" s="4">
        <f t="shared" si="6"/>
        <v>-3228034.0034369845</v>
      </c>
      <c r="D123" s="4">
        <f t="shared" si="7"/>
        <v>5857899.4043183839</v>
      </c>
      <c r="E123" s="4">
        <f t="shared" si="8"/>
        <v>9085933.4077553675</v>
      </c>
      <c r="F123" s="4">
        <f t="shared" si="9"/>
        <v>0</v>
      </c>
      <c r="G123" s="4">
        <f t="shared" si="10"/>
        <v>0</v>
      </c>
      <c r="H123" s="6">
        <f t="shared" si="11"/>
        <v>-331889333.75145382</v>
      </c>
    </row>
    <row r="124" spans="2:8" x14ac:dyDescent="0.3">
      <c r="B124">
        <v>114</v>
      </c>
      <c r="C124" s="4">
        <f t="shared" si="6"/>
        <v>-3318893.3375145383</v>
      </c>
      <c r="D124" s="4">
        <f t="shared" si="7"/>
        <v>5857899.4043183839</v>
      </c>
      <c r="E124" s="4">
        <f t="shared" si="8"/>
        <v>14176792.741832923</v>
      </c>
      <c r="F124" s="4">
        <f t="shared" si="9"/>
        <v>5000000</v>
      </c>
      <c r="G124" s="4">
        <f t="shared" si="10"/>
        <v>0</v>
      </c>
      <c r="H124" s="6">
        <f t="shared" si="11"/>
        <v>-346066126.49328673</v>
      </c>
    </row>
    <row r="125" spans="2:8" x14ac:dyDescent="0.3">
      <c r="B125">
        <v>115</v>
      </c>
      <c r="C125" s="4">
        <f t="shared" si="6"/>
        <v>-3460661.2649328671</v>
      </c>
      <c r="D125" s="4">
        <f t="shared" si="7"/>
        <v>5857899.4043183839</v>
      </c>
      <c r="E125" s="4">
        <f t="shared" si="8"/>
        <v>9318560.669251252</v>
      </c>
      <c r="F125" s="4">
        <f t="shared" si="9"/>
        <v>0</v>
      </c>
      <c r="G125" s="4">
        <f t="shared" si="10"/>
        <v>0</v>
      </c>
      <c r="H125" s="6">
        <f t="shared" si="11"/>
        <v>-355384687.16253799</v>
      </c>
    </row>
    <row r="126" spans="2:8" x14ac:dyDescent="0.3">
      <c r="B126">
        <v>116</v>
      </c>
      <c r="C126" s="4">
        <f t="shared" si="6"/>
        <v>-3553846.8716253801</v>
      </c>
      <c r="D126" s="4">
        <f t="shared" si="7"/>
        <v>5857899.4043183839</v>
      </c>
      <c r="E126" s="4">
        <f t="shared" si="8"/>
        <v>9411746.2759437636</v>
      </c>
      <c r="F126" s="4">
        <f t="shared" si="9"/>
        <v>0</v>
      </c>
      <c r="G126" s="4">
        <f t="shared" si="10"/>
        <v>0</v>
      </c>
      <c r="H126" s="6">
        <f t="shared" si="11"/>
        <v>-364796433.43848175</v>
      </c>
    </row>
    <row r="127" spans="2:8" x14ac:dyDescent="0.3">
      <c r="B127">
        <v>117</v>
      </c>
      <c r="C127" s="4">
        <f t="shared" si="6"/>
        <v>-3647964.3343848176</v>
      </c>
      <c r="D127" s="4">
        <f t="shared" si="7"/>
        <v>5857899.4043183839</v>
      </c>
      <c r="E127" s="4">
        <f t="shared" si="8"/>
        <v>9505863.7387032025</v>
      </c>
      <c r="F127" s="4">
        <f t="shared" si="9"/>
        <v>0</v>
      </c>
      <c r="G127" s="4">
        <f t="shared" si="10"/>
        <v>0</v>
      </c>
      <c r="H127" s="6">
        <f t="shared" si="11"/>
        <v>-374302297.17718494</v>
      </c>
    </row>
    <row r="128" spans="2:8" x14ac:dyDescent="0.3">
      <c r="B128">
        <v>118</v>
      </c>
      <c r="C128" s="4">
        <f t="shared" si="6"/>
        <v>-3743022.9717718493</v>
      </c>
      <c r="D128" s="4">
        <f t="shared" si="7"/>
        <v>5857899.4043183839</v>
      </c>
      <c r="E128" s="4">
        <f t="shared" si="8"/>
        <v>9600922.3760902323</v>
      </c>
      <c r="F128" s="4">
        <f t="shared" si="9"/>
        <v>0</v>
      </c>
      <c r="G128" s="4">
        <f t="shared" si="10"/>
        <v>0</v>
      </c>
      <c r="H128" s="6">
        <f t="shared" si="11"/>
        <v>-383903219.55327517</v>
      </c>
    </row>
    <row r="129" spans="2:8" x14ac:dyDescent="0.3">
      <c r="B129">
        <v>119</v>
      </c>
      <c r="C129" s="4">
        <f t="shared" si="6"/>
        <v>-3839032.1955327517</v>
      </c>
      <c r="D129" s="4">
        <f t="shared" si="7"/>
        <v>5857899.4043183839</v>
      </c>
      <c r="E129" s="4">
        <f t="shared" si="8"/>
        <v>9696931.5998511352</v>
      </c>
      <c r="F129" s="4">
        <f t="shared" si="9"/>
        <v>0</v>
      </c>
      <c r="G129" s="4">
        <f t="shared" si="10"/>
        <v>0</v>
      </c>
      <c r="H129" s="6">
        <f t="shared" si="11"/>
        <v>-393600151.1531263</v>
      </c>
    </row>
    <row r="130" spans="2:8" x14ac:dyDescent="0.3">
      <c r="B130">
        <v>120</v>
      </c>
      <c r="C130" s="4">
        <f t="shared" si="6"/>
        <v>-3936001.5115312631</v>
      </c>
      <c r="D130" s="4">
        <f t="shared" si="7"/>
        <v>5857899.4043183839</v>
      </c>
      <c r="E130" s="4">
        <f t="shared" si="8"/>
        <v>14793900.915849647</v>
      </c>
      <c r="F130" s="4">
        <f t="shared" si="9"/>
        <v>5000000</v>
      </c>
      <c r="G130" s="4">
        <f t="shared" si="10"/>
        <v>0</v>
      </c>
      <c r="H130" s="6">
        <f t="shared" si="11"/>
        <v>-408394052.06897593</v>
      </c>
    </row>
    <row r="131" spans="2:8" x14ac:dyDescent="0.3">
      <c r="B131">
        <v>121</v>
      </c>
      <c r="C131" s="4">
        <f t="shared" si="6"/>
        <v>-4083940.5206897594</v>
      </c>
      <c r="D131" s="4">
        <f t="shared" si="7"/>
        <v>5857899.4043183839</v>
      </c>
      <c r="E131" s="4">
        <f t="shared" si="8"/>
        <v>9941839.9250081442</v>
      </c>
      <c r="F131" s="4">
        <f t="shared" si="9"/>
        <v>0</v>
      </c>
      <c r="G131" s="4">
        <f t="shared" si="10"/>
        <v>0</v>
      </c>
      <c r="H131" s="6">
        <f t="shared" si="11"/>
        <v>-418335891.99398404</v>
      </c>
    </row>
    <row r="132" spans="2:8" x14ac:dyDescent="0.3">
      <c r="B132">
        <v>122</v>
      </c>
      <c r="C132" s="4">
        <f t="shared" si="6"/>
        <v>-4183358.9199398407</v>
      </c>
      <c r="D132" s="4">
        <f t="shared" si="7"/>
        <v>5857899.4043183839</v>
      </c>
      <c r="E132" s="4">
        <f t="shared" si="8"/>
        <v>10041258.324258225</v>
      </c>
      <c r="F132" s="4">
        <f t="shared" si="9"/>
        <v>0</v>
      </c>
      <c r="G132" s="4">
        <f t="shared" si="10"/>
        <v>0</v>
      </c>
      <c r="H132" s="6">
        <f t="shared" si="11"/>
        <v>-428377150.31824225</v>
      </c>
    </row>
    <row r="133" spans="2:8" x14ac:dyDescent="0.3">
      <c r="B133">
        <v>123</v>
      </c>
      <c r="C133" s="4">
        <f t="shared" si="6"/>
        <v>-4283771.5031824224</v>
      </c>
      <c r="D133" s="4">
        <f t="shared" si="7"/>
        <v>5857899.4043183839</v>
      </c>
      <c r="E133" s="4">
        <f t="shared" si="8"/>
        <v>10141670.907500807</v>
      </c>
      <c r="F133" s="4">
        <f t="shared" si="9"/>
        <v>0</v>
      </c>
      <c r="G133" s="4">
        <f t="shared" si="10"/>
        <v>0</v>
      </c>
      <c r="H133" s="6">
        <f t="shared" si="11"/>
        <v>-438518821.22574306</v>
      </c>
    </row>
    <row r="134" spans="2:8" x14ac:dyDescent="0.3">
      <c r="B134">
        <v>124</v>
      </c>
      <c r="C134" s="4">
        <f t="shared" si="6"/>
        <v>-4385188.2122574309</v>
      </c>
      <c r="D134" s="4">
        <f t="shared" si="7"/>
        <v>5857899.4043183839</v>
      </c>
      <c r="E134" s="4">
        <f t="shared" si="8"/>
        <v>10243087.616575815</v>
      </c>
      <c r="F134" s="4">
        <f t="shared" si="9"/>
        <v>0</v>
      </c>
      <c r="G134" s="4">
        <f t="shared" si="10"/>
        <v>0</v>
      </c>
      <c r="H134" s="6">
        <f t="shared" si="11"/>
        <v>-448761908.84231889</v>
      </c>
    </row>
    <row r="135" spans="2:8" x14ac:dyDescent="0.3">
      <c r="B135">
        <v>125</v>
      </c>
      <c r="C135" s="4">
        <f t="shared" si="6"/>
        <v>-4487619.0884231888</v>
      </c>
      <c r="D135" s="4">
        <f t="shared" si="7"/>
        <v>5857899.4043183839</v>
      </c>
      <c r="E135" s="4">
        <f t="shared" si="8"/>
        <v>10345518.492741574</v>
      </c>
      <c r="F135" s="4">
        <f t="shared" si="9"/>
        <v>0</v>
      </c>
      <c r="G135" s="4">
        <f t="shared" si="10"/>
        <v>0</v>
      </c>
      <c r="H135" s="6">
        <f t="shared" si="11"/>
        <v>-459107427.33506048</v>
      </c>
    </row>
    <row r="136" spans="2:8" x14ac:dyDescent="0.3">
      <c r="B136">
        <v>126</v>
      </c>
      <c r="C136" s="4">
        <f t="shared" si="6"/>
        <v>-4591074.2733506048</v>
      </c>
      <c r="D136" s="4">
        <f t="shared" si="7"/>
        <v>5857899.4043183839</v>
      </c>
      <c r="E136" s="4">
        <f t="shared" si="8"/>
        <v>15448973.677668989</v>
      </c>
      <c r="F136" s="4">
        <f t="shared" si="9"/>
        <v>5000000</v>
      </c>
      <c r="G136" s="4">
        <f t="shared" si="10"/>
        <v>0</v>
      </c>
      <c r="H136" s="6">
        <f t="shared" si="11"/>
        <v>-474556401.01272947</v>
      </c>
    </row>
    <row r="137" spans="2:8" x14ac:dyDescent="0.3">
      <c r="B137">
        <v>127</v>
      </c>
      <c r="C137" s="4">
        <f t="shared" si="6"/>
        <v>-4745564.0101272948</v>
      </c>
      <c r="D137" s="4">
        <f t="shared" si="7"/>
        <v>5857899.4043183839</v>
      </c>
      <c r="E137" s="4">
        <f t="shared" si="8"/>
        <v>10603463.41444568</v>
      </c>
      <c r="F137" s="4">
        <f t="shared" si="9"/>
        <v>0</v>
      </c>
      <c r="G137" s="4">
        <f t="shared" si="10"/>
        <v>0</v>
      </c>
      <c r="H137" s="6">
        <f t="shared" si="11"/>
        <v>-485159864.42717516</v>
      </c>
    </row>
    <row r="138" spans="2:8" x14ac:dyDescent="0.3">
      <c r="B138">
        <v>128</v>
      </c>
      <c r="C138" s="4">
        <f t="shared" si="6"/>
        <v>-4851598.6442717519</v>
      </c>
      <c r="D138" s="4">
        <f t="shared" si="7"/>
        <v>5857899.4043183839</v>
      </c>
      <c r="E138" s="4">
        <f t="shared" si="8"/>
        <v>10709498.048590135</v>
      </c>
      <c r="F138" s="4">
        <f t="shared" si="9"/>
        <v>0</v>
      </c>
      <c r="G138" s="4">
        <f t="shared" si="10"/>
        <v>0</v>
      </c>
      <c r="H138" s="6">
        <f t="shared" si="11"/>
        <v>-495869362.47576529</v>
      </c>
    </row>
    <row r="139" spans="2:8" x14ac:dyDescent="0.3">
      <c r="B139">
        <v>129</v>
      </c>
      <c r="C139" s="4">
        <f t="shared" si="6"/>
        <v>-4958693.6247576531</v>
      </c>
      <c r="D139" s="4">
        <f t="shared" si="7"/>
        <v>5857899.4043183839</v>
      </c>
      <c r="E139" s="4">
        <f t="shared" si="8"/>
        <v>10816593.029076036</v>
      </c>
      <c r="F139" s="4">
        <f t="shared" si="9"/>
        <v>0</v>
      </c>
      <c r="G139" s="4">
        <f t="shared" si="10"/>
        <v>0</v>
      </c>
      <c r="H139" s="6">
        <f t="shared" si="11"/>
        <v>-506685955.50484133</v>
      </c>
    </row>
    <row r="140" spans="2:8" x14ac:dyDescent="0.3">
      <c r="B140">
        <v>130</v>
      </c>
      <c r="C140" s="4">
        <f t="shared" ref="C140:C203" si="12">H139*$C$5</f>
        <v>-5066859.5550484136</v>
      </c>
      <c r="D140" s="4">
        <f t="shared" ref="D140:D203" si="13">IF(B140&lt;=$C$6,0,$C$7)</f>
        <v>5857899.4043183839</v>
      </c>
      <c r="E140" s="4">
        <f t="shared" ref="E140:E203" si="14">D140-C140+F140+G140</f>
        <v>10924758.959366798</v>
      </c>
      <c r="F140" s="4">
        <f t="shared" ref="F140:F203" si="15">IF(MOD(B140,$F$3)=0,$F$2,0)</f>
        <v>0</v>
      </c>
      <c r="G140" s="4">
        <f t="shared" ref="G140:G203" si="16">IF(B140=$C$3,$F$4*$C$2,0)</f>
        <v>0</v>
      </c>
      <c r="H140" s="6">
        <f t="shared" ref="H140:H203" si="17">H139-E140</f>
        <v>-517610714.46420813</v>
      </c>
    </row>
    <row r="141" spans="2:8" x14ac:dyDescent="0.3">
      <c r="B141">
        <v>131</v>
      </c>
      <c r="C141" s="4">
        <f t="shared" si="12"/>
        <v>-5176107.1446420811</v>
      </c>
      <c r="D141" s="4">
        <f t="shared" si="13"/>
        <v>5857899.4043183839</v>
      </c>
      <c r="E141" s="4">
        <f t="shared" si="14"/>
        <v>11034006.548960466</v>
      </c>
      <c r="F141" s="4">
        <f t="shared" si="15"/>
        <v>0</v>
      </c>
      <c r="G141" s="4">
        <f t="shared" si="16"/>
        <v>0</v>
      </c>
      <c r="H141" s="6">
        <f t="shared" si="17"/>
        <v>-528644721.01316857</v>
      </c>
    </row>
    <row r="142" spans="2:8" x14ac:dyDescent="0.3">
      <c r="B142">
        <v>132</v>
      </c>
      <c r="C142" s="4">
        <f t="shared" si="12"/>
        <v>-5286447.2101316862</v>
      </c>
      <c r="D142" s="4">
        <f t="shared" si="13"/>
        <v>5857899.4043183839</v>
      </c>
      <c r="E142" s="4">
        <f t="shared" si="14"/>
        <v>16144346.614450071</v>
      </c>
      <c r="F142" s="4">
        <f t="shared" si="15"/>
        <v>5000000</v>
      </c>
      <c r="G142" s="4">
        <f t="shared" si="16"/>
        <v>0</v>
      </c>
      <c r="H142" s="6">
        <f t="shared" si="17"/>
        <v>-544789067.62761867</v>
      </c>
    </row>
    <row r="143" spans="2:8" x14ac:dyDescent="0.3">
      <c r="B143">
        <v>133</v>
      </c>
      <c r="C143" s="4">
        <f t="shared" si="12"/>
        <v>-5447890.6762761865</v>
      </c>
      <c r="D143" s="4">
        <f t="shared" si="13"/>
        <v>5857899.4043183839</v>
      </c>
      <c r="E143" s="4">
        <f t="shared" si="14"/>
        <v>11305790.080594569</v>
      </c>
      <c r="F143" s="4">
        <f t="shared" si="15"/>
        <v>0</v>
      </c>
      <c r="G143" s="4">
        <f t="shared" si="16"/>
        <v>0</v>
      </c>
      <c r="H143" s="6">
        <f t="shared" si="17"/>
        <v>-556094857.70821321</v>
      </c>
    </row>
    <row r="144" spans="2:8" x14ac:dyDescent="0.3">
      <c r="B144">
        <v>134</v>
      </c>
      <c r="C144" s="4">
        <f t="shared" si="12"/>
        <v>-5560948.577082132</v>
      </c>
      <c r="D144" s="4">
        <f t="shared" si="13"/>
        <v>5857899.4043183839</v>
      </c>
      <c r="E144" s="4">
        <f t="shared" si="14"/>
        <v>11418847.981400516</v>
      </c>
      <c r="F144" s="4">
        <f t="shared" si="15"/>
        <v>0</v>
      </c>
      <c r="G144" s="4">
        <f t="shared" si="16"/>
        <v>0</v>
      </c>
      <c r="H144" s="6">
        <f t="shared" si="17"/>
        <v>-567513705.6896137</v>
      </c>
    </row>
    <row r="145" spans="2:8" x14ac:dyDescent="0.3">
      <c r="B145">
        <v>135</v>
      </c>
      <c r="C145" s="4">
        <f t="shared" si="12"/>
        <v>-5675137.0568961371</v>
      </c>
      <c r="D145" s="4">
        <f t="shared" si="13"/>
        <v>5857899.4043183839</v>
      </c>
      <c r="E145" s="4">
        <f t="shared" si="14"/>
        <v>11533036.46121452</v>
      </c>
      <c r="F145" s="4">
        <f t="shared" si="15"/>
        <v>0</v>
      </c>
      <c r="G145" s="4">
        <f t="shared" si="16"/>
        <v>0</v>
      </c>
      <c r="H145" s="6">
        <f t="shared" si="17"/>
        <v>-579046742.15082824</v>
      </c>
    </row>
    <row r="146" spans="2:8" x14ac:dyDescent="0.3">
      <c r="B146">
        <v>136</v>
      </c>
      <c r="C146" s="4">
        <f t="shared" si="12"/>
        <v>-5790467.4215082824</v>
      </c>
      <c r="D146" s="4">
        <f t="shared" si="13"/>
        <v>5857899.4043183839</v>
      </c>
      <c r="E146" s="4">
        <f t="shared" si="14"/>
        <v>11648366.825826667</v>
      </c>
      <c r="F146" s="4">
        <f t="shared" si="15"/>
        <v>0</v>
      </c>
      <c r="G146" s="4">
        <f t="shared" si="16"/>
        <v>0</v>
      </c>
      <c r="H146" s="6">
        <f t="shared" si="17"/>
        <v>-590695108.97665489</v>
      </c>
    </row>
    <row r="147" spans="2:8" x14ac:dyDescent="0.3">
      <c r="B147">
        <v>137</v>
      </c>
      <c r="C147" s="4">
        <f t="shared" si="12"/>
        <v>-5906951.0897665489</v>
      </c>
      <c r="D147" s="4">
        <f t="shared" si="13"/>
        <v>5857899.4043183839</v>
      </c>
      <c r="E147" s="4">
        <f t="shared" si="14"/>
        <v>11764850.494084932</v>
      </c>
      <c r="F147" s="4">
        <f t="shared" si="15"/>
        <v>0</v>
      </c>
      <c r="G147" s="4">
        <f t="shared" si="16"/>
        <v>0</v>
      </c>
      <c r="H147" s="6">
        <f t="shared" si="17"/>
        <v>-602459959.47073984</v>
      </c>
    </row>
    <row r="148" spans="2:8" x14ac:dyDescent="0.3">
      <c r="B148">
        <v>138</v>
      </c>
      <c r="C148" s="4">
        <f t="shared" si="12"/>
        <v>-6024599.5947073987</v>
      </c>
      <c r="D148" s="4">
        <f t="shared" si="13"/>
        <v>5857899.4043183839</v>
      </c>
      <c r="E148" s="4">
        <f t="shared" si="14"/>
        <v>16882498.999025784</v>
      </c>
      <c r="F148" s="4">
        <f t="shared" si="15"/>
        <v>5000000</v>
      </c>
      <c r="G148" s="4">
        <f t="shared" si="16"/>
        <v>0</v>
      </c>
      <c r="H148" s="6">
        <f t="shared" si="17"/>
        <v>-619342458.46976566</v>
      </c>
    </row>
    <row r="149" spans="2:8" x14ac:dyDescent="0.3">
      <c r="B149">
        <v>139</v>
      </c>
      <c r="C149" s="4">
        <f t="shared" si="12"/>
        <v>-6193424.5846976563</v>
      </c>
      <c r="D149" s="4">
        <f t="shared" si="13"/>
        <v>5857899.4043183839</v>
      </c>
      <c r="E149" s="4">
        <f t="shared" si="14"/>
        <v>12051323.989016041</v>
      </c>
      <c r="F149" s="4">
        <f t="shared" si="15"/>
        <v>0</v>
      </c>
      <c r="G149" s="4">
        <f t="shared" si="16"/>
        <v>0</v>
      </c>
      <c r="H149" s="6">
        <f t="shared" si="17"/>
        <v>-631393782.45878172</v>
      </c>
    </row>
    <row r="150" spans="2:8" x14ac:dyDescent="0.3">
      <c r="B150">
        <v>140</v>
      </c>
      <c r="C150" s="4">
        <f t="shared" si="12"/>
        <v>-6313937.8245878173</v>
      </c>
      <c r="D150" s="4">
        <f t="shared" si="13"/>
        <v>5857899.4043183839</v>
      </c>
      <c r="E150" s="4">
        <f t="shared" si="14"/>
        <v>12171837.228906201</v>
      </c>
      <c r="F150" s="4">
        <f t="shared" si="15"/>
        <v>0</v>
      </c>
      <c r="G150" s="4">
        <f t="shared" si="16"/>
        <v>0</v>
      </c>
      <c r="H150" s="6">
        <f t="shared" si="17"/>
        <v>-643565619.68768787</v>
      </c>
    </row>
    <row r="151" spans="2:8" x14ac:dyDescent="0.3">
      <c r="B151">
        <v>141</v>
      </c>
      <c r="C151" s="4">
        <f t="shared" si="12"/>
        <v>-6435656.1968768789</v>
      </c>
      <c r="D151" s="4">
        <f t="shared" si="13"/>
        <v>5857899.4043183839</v>
      </c>
      <c r="E151" s="4">
        <f t="shared" si="14"/>
        <v>12293555.601195263</v>
      </c>
      <c r="F151" s="4">
        <f t="shared" si="15"/>
        <v>0</v>
      </c>
      <c r="G151" s="4">
        <f t="shared" si="16"/>
        <v>0</v>
      </c>
      <c r="H151" s="6">
        <f t="shared" si="17"/>
        <v>-655859175.28888309</v>
      </c>
    </row>
    <row r="152" spans="2:8" x14ac:dyDescent="0.3">
      <c r="B152">
        <v>142</v>
      </c>
      <c r="C152" s="4">
        <f t="shared" si="12"/>
        <v>-6558591.7528888313</v>
      </c>
      <c r="D152" s="4">
        <f t="shared" si="13"/>
        <v>5857899.4043183839</v>
      </c>
      <c r="E152" s="4">
        <f t="shared" si="14"/>
        <v>12416491.157207215</v>
      </c>
      <c r="F152" s="4">
        <f t="shared" si="15"/>
        <v>0</v>
      </c>
      <c r="G152" s="4">
        <f t="shared" si="16"/>
        <v>0</v>
      </c>
      <c r="H152" s="6">
        <f t="shared" si="17"/>
        <v>-668275666.44609034</v>
      </c>
    </row>
    <row r="153" spans="2:8" x14ac:dyDescent="0.3">
      <c r="B153">
        <v>143</v>
      </c>
      <c r="C153" s="4">
        <f t="shared" si="12"/>
        <v>-6682756.664460904</v>
      </c>
      <c r="D153" s="4">
        <f t="shared" si="13"/>
        <v>5857899.4043183839</v>
      </c>
      <c r="E153" s="4">
        <f t="shared" si="14"/>
        <v>12540656.068779288</v>
      </c>
      <c r="F153" s="4">
        <f t="shared" si="15"/>
        <v>0</v>
      </c>
      <c r="G153" s="4">
        <f t="shared" si="16"/>
        <v>0</v>
      </c>
      <c r="H153" s="6">
        <f t="shared" si="17"/>
        <v>-680816322.51486957</v>
      </c>
    </row>
    <row r="154" spans="2:8" x14ac:dyDescent="0.3">
      <c r="B154">
        <v>144</v>
      </c>
      <c r="C154" s="4">
        <f t="shared" si="12"/>
        <v>-6808163.2251486955</v>
      </c>
      <c r="D154" s="4">
        <f t="shared" si="13"/>
        <v>5857899.4043183839</v>
      </c>
      <c r="E154" s="4">
        <f t="shared" si="14"/>
        <v>17666062.629467078</v>
      </c>
      <c r="F154" s="4">
        <f t="shared" si="15"/>
        <v>5000000</v>
      </c>
      <c r="G154" s="4">
        <f t="shared" si="16"/>
        <v>0</v>
      </c>
      <c r="H154" s="6">
        <f t="shared" si="17"/>
        <v>-698482385.1443367</v>
      </c>
    </row>
    <row r="155" spans="2:8" x14ac:dyDescent="0.3">
      <c r="B155">
        <v>145</v>
      </c>
      <c r="C155" s="4">
        <f t="shared" si="12"/>
        <v>-6984823.8514433671</v>
      </c>
      <c r="D155" s="4">
        <f t="shared" si="13"/>
        <v>5857899.4043183839</v>
      </c>
      <c r="E155" s="4">
        <f t="shared" si="14"/>
        <v>12842723.25576175</v>
      </c>
      <c r="F155" s="4">
        <f t="shared" si="15"/>
        <v>0</v>
      </c>
      <c r="G155" s="4">
        <f t="shared" si="16"/>
        <v>0</v>
      </c>
      <c r="H155" s="6">
        <f t="shared" si="17"/>
        <v>-711325108.40009844</v>
      </c>
    </row>
    <row r="156" spans="2:8" x14ac:dyDescent="0.3">
      <c r="B156">
        <v>146</v>
      </c>
      <c r="C156" s="4">
        <f t="shared" si="12"/>
        <v>-7113251.0840009842</v>
      </c>
      <c r="D156" s="4">
        <f t="shared" si="13"/>
        <v>5857899.4043183839</v>
      </c>
      <c r="E156" s="4">
        <f t="shared" si="14"/>
        <v>12971150.488319367</v>
      </c>
      <c r="F156" s="4">
        <f t="shared" si="15"/>
        <v>0</v>
      </c>
      <c r="G156" s="4">
        <f t="shared" si="16"/>
        <v>0</v>
      </c>
      <c r="H156" s="6">
        <f t="shared" si="17"/>
        <v>-724296258.88841784</v>
      </c>
    </row>
    <row r="157" spans="2:8" x14ac:dyDescent="0.3">
      <c r="B157">
        <v>147</v>
      </c>
      <c r="C157" s="4">
        <f t="shared" si="12"/>
        <v>-7242962.5888841785</v>
      </c>
      <c r="D157" s="4">
        <f t="shared" si="13"/>
        <v>5857899.4043183839</v>
      </c>
      <c r="E157" s="4">
        <f t="shared" si="14"/>
        <v>13100861.993202563</v>
      </c>
      <c r="F157" s="4">
        <f t="shared" si="15"/>
        <v>0</v>
      </c>
      <c r="G157" s="4">
        <f t="shared" si="16"/>
        <v>0</v>
      </c>
      <c r="H157" s="6">
        <f t="shared" si="17"/>
        <v>-737397120.88162041</v>
      </c>
    </row>
    <row r="158" spans="2:8" x14ac:dyDescent="0.3">
      <c r="B158">
        <v>148</v>
      </c>
      <c r="C158" s="4">
        <f t="shared" si="12"/>
        <v>-7373971.2088162042</v>
      </c>
      <c r="D158" s="4">
        <f t="shared" si="13"/>
        <v>5857899.4043183839</v>
      </c>
      <c r="E158" s="4">
        <f t="shared" si="14"/>
        <v>13231870.613134589</v>
      </c>
      <c r="F158" s="4">
        <f t="shared" si="15"/>
        <v>0</v>
      </c>
      <c r="G158" s="4">
        <f t="shared" si="16"/>
        <v>0</v>
      </c>
      <c r="H158" s="6">
        <f t="shared" si="17"/>
        <v>-750628991.49475503</v>
      </c>
    </row>
    <row r="159" spans="2:8" x14ac:dyDescent="0.3">
      <c r="B159">
        <v>149</v>
      </c>
      <c r="C159" s="4">
        <f t="shared" si="12"/>
        <v>-7506289.9149475507</v>
      </c>
      <c r="D159" s="4">
        <f t="shared" si="13"/>
        <v>5857899.4043183839</v>
      </c>
      <c r="E159" s="4">
        <f t="shared" si="14"/>
        <v>13364189.319265936</v>
      </c>
      <c r="F159" s="4">
        <f t="shared" si="15"/>
        <v>0</v>
      </c>
      <c r="G159" s="4">
        <f t="shared" si="16"/>
        <v>0</v>
      </c>
      <c r="H159" s="6">
        <f t="shared" si="17"/>
        <v>-763993180.81402099</v>
      </c>
    </row>
    <row r="160" spans="2:8" x14ac:dyDescent="0.3">
      <c r="B160">
        <v>150</v>
      </c>
      <c r="C160" s="4">
        <f t="shared" si="12"/>
        <v>-7639931.8081402099</v>
      </c>
      <c r="D160" s="4">
        <f t="shared" si="13"/>
        <v>5857899.4043183839</v>
      </c>
      <c r="E160" s="4">
        <f t="shared" si="14"/>
        <v>18497831.212458596</v>
      </c>
      <c r="F160" s="4">
        <f t="shared" si="15"/>
        <v>5000000</v>
      </c>
      <c r="G160" s="4">
        <f t="shared" si="16"/>
        <v>0</v>
      </c>
      <c r="H160" s="6">
        <f t="shared" si="17"/>
        <v>-782491012.0264796</v>
      </c>
    </row>
    <row r="161" spans="2:8" x14ac:dyDescent="0.3">
      <c r="B161">
        <v>151</v>
      </c>
      <c r="C161" s="4">
        <f t="shared" si="12"/>
        <v>-7824910.1202647965</v>
      </c>
      <c r="D161" s="4">
        <f t="shared" si="13"/>
        <v>5857899.4043183839</v>
      </c>
      <c r="E161" s="4">
        <f t="shared" si="14"/>
        <v>13682809.52458318</v>
      </c>
      <c r="F161" s="4">
        <f t="shared" si="15"/>
        <v>0</v>
      </c>
      <c r="G161" s="4">
        <f t="shared" si="16"/>
        <v>0</v>
      </c>
      <c r="H161" s="6">
        <f t="shared" si="17"/>
        <v>-796173821.55106282</v>
      </c>
    </row>
    <row r="162" spans="2:8" x14ac:dyDescent="0.3">
      <c r="B162">
        <v>152</v>
      </c>
      <c r="C162" s="4">
        <f t="shared" si="12"/>
        <v>-7961738.2155106282</v>
      </c>
      <c r="D162" s="4">
        <f t="shared" si="13"/>
        <v>5857899.4043183839</v>
      </c>
      <c r="E162" s="4">
        <f t="shared" si="14"/>
        <v>13819637.619829012</v>
      </c>
      <c r="F162" s="4">
        <f t="shared" si="15"/>
        <v>0</v>
      </c>
      <c r="G162" s="4">
        <f t="shared" si="16"/>
        <v>0</v>
      </c>
      <c r="H162" s="6">
        <f t="shared" si="17"/>
        <v>-809993459.17089188</v>
      </c>
    </row>
    <row r="163" spans="2:8" x14ac:dyDescent="0.3">
      <c r="B163">
        <v>153</v>
      </c>
      <c r="C163" s="4">
        <f t="shared" si="12"/>
        <v>-8099934.591708919</v>
      </c>
      <c r="D163" s="4">
        <f t="shared" si="13"/>
        <v>5857899.4043183839</v>
      </c>
      <c r="E163" s="4">
        <f t="shared" si="14"/>
        <v>13957833.996027302</v>
      </c>
      <c r="F163" s="4">
        <f t="shared" si="15"/>
        <v>0</v>
      </c>
      <c r="G163" s="4">
        <f t="shared" si="16"/>
        <v>0</v>
      </c>
      <c r="H163" s="6">
        <f t="shared" si="17"/>
        <v>-823951293.16691923</v>
      </c>
    </row>
    <row r="164" spans="2:8" x14ac:dyDescent="0.3">
      <c r="B164">
        <v>154</v>
      </c>
      <c r="C164" s="4">
        <f t="shared" si="12"/>
        <v>-8239512.9316691924</v>
      </c>
      <c r="D164" s="4">
        <f t="shared" si="13"/>
        <v>5857899.4043183839</v>
      </c>
      <c r="E164" s="4">
        <f t="shared" si="14"/>
        <v>14097412.335987575</v>
      </c>
      <c r="F164" s="4">
        <f t="shared" si="15"/>
        <v>0</v>
      </c>
      <c r="G164" s="4">
        <f t="shared" si="16"/>
        <v>0</v>
      </c>
      <c r="H164" s="6">
        <f t="shared" si="17"/>
        <v>-838048705.5029068</v>
      </c>
    </row>
    <row r="165" spans="2:8" x14ac:dyDescent="0.3">
      <c r="B165">
        <v>155</v>
      </c>
      <c r="C165" s="4">
        <f t="shared" si="12"/>
        <v>-8380487.0550290681</v>
      </c>
      <c r="D165" s="4">
        <f t="shared" si="13"/>
        <v>5857899.4043183839</v>
      </c>
      <c r="E165" s="4">
        <f t="shared" si="14"/>
        <v>14238386.459347453</v>
      </c>
      <c r="F165" s="4">
        <f t="shared" si="15"/>
        <v>0</v>
      </c>
      <c r="G165" s="4">
        <f t="shared" si="16"/>
        <v>0</v>
      </c>
      <c r="H165" s="6">
        <f t="shared" si="17"/>
        <v>-852287091.96225429</v>
      </c>
    </row>
    <row r="166" spans="2:8" x14ac:dyDescent="0.3">
      <c r="B166">
        <v>156</v>
      </c>
      <c r="C166" s="4">
        <f t="shared" si="12"/>
        <v>-8522870.9196225423</v>
      </c>
      <c r="D166" s="4">
        <f t="shared" si="13"/>
        <v>5857899.4043183839</v>
      </c>
      <c r="E166" s="4">
        <f t="shared" si="14"/>
        <v>19380770.323940925</v>
      </c>
      <c r="F166" s="4">
        <f t="shared" si="15"/>
        <v>5000000</v>
      </c>
      <c r="G166" s="4">
        <f t="shared" si="16"/>
        <v>0</v>
      </c>
      <c r="H166" s="6">
        <f t="shared" si="17"/>
        <v>-871667862.28619516</v>
      </c>
    </row>
    <row r="167" spans="2:8" x14ac:dyDescent="0.3">
      <c r="B167">
        <v>157</v>
      </c>
      <c r="C167" s="4">
        <f t="shared" si="12"/>
        <v>-8716678.6228619516</v>
      </c>
      <c r="D167" s="4">
        <f t="shared" si="13"/>
        <v>5857899.4043183839</v>
      </c>
      <c r="E167" s="4">
        <f t="shared" si="14"/>
        <v>14574578.027180336</v>
      </c>
      <c r="F167" s="4">
        <f t="shared" si="15"/>
        <v>0</v>
      </c>
      <c r="G167" s="4">
        <f t="shared" si="16"/>
        <v>0</v>
      </c>
      <c r="H167" s="6">
        <f t="shared" si="17"/>
        <v>-886242440.31337547</v>
      </c>
    </row>
    <row r="168" spans="2:8" x14ac:dyDescent="0.3">
      <c r="B168">
        <v>158</v>
      </c>
      <c r="C168" s="4">
        <f t="shared" si="12"/>
        <v>-8862424.4031337555</v>
      </c>
      <c r="D168" s="4">
        <f t="shared" si="13"/>
        <v>5857899.4043183839</v>
      </c>
      <c r="E168" s="4">
        <f t="shared" si="14"/>
        <v>14720323.807452139</v>
      </c>
      <c r="F168" s="4">
        <f t="shared" si="15"/>
        <v>0</v>
      </c>
      <c r="G168" s="4">
        <f t="shared" si="16"/>
        <v>0</v>
      </c>
      <c r="H168" s="6">
        <f t="shared" si="17"/>
        <v>-900962764.12082756</v>
      </c>
    </row>
    <row r="169" spans="2:8" x14ac:dyDescent="0.3">
      <c r="B169">
        <v>159</v>
      </c>
      <c r="C169" s="4">
        <f t="shared" si="12"/>
        <v>-9009627.6412082762</v>
      </c>
      <c r="D169" s="4">
        <f t="shared" si="13"/>
        <v>5857899.4043183839</v>
      </c>
      <c r="E169" s="4">
        <f t="shared" si="14"/>
        <v>14867527.045526661</v>
      </c>
      <c r="F169" s="4">
        <f t="shared" si="15"/>
        <v>0</v>
      </c>
      <c r="G169" s="4">
        <f t="shared" si="16"/>
        <v>0</v>
      </c>
      <c r="H169" s="6">
        <f t="shared" si="17"/>
        <v>-915830291.16635418</v>
      </c>
    </row>
    <row r="170" spans="2:8" x14ac:dyDescent="0.3">
      <c r="B170">
        <v>160</v>
      </c>
      <c r="C170" s="4">
        <f t="shared" si="12"/>
        <v>-9158302.9116635416</v>
      </c>
      <c r="D170" s="4">
        <f t="shared" si="13"/>
        <v>5857899.4043183839</v>
      </c>
      <c r="E170" s="4">
        <f t="shared" si="14"/>
        <v>15016202.315981925</v>
      </c>
      <c r="F170" s="4">
        <f t="shared" si="15"/>
        <v>0</v>
      </c>
      <c r="G170" s="4">
        <f t="shared" si="16"/>
        <v>0</v>
      </c>
      <c r="H170" s="6">
        <f t="shared" si="17"/>
        <v>-930846493.48233604</v>
      </c>
    </row>
    <row r="171" spans="2:8" x14ac:dyDescent="0.3">
      <c r="B171">
        <v>161</v>
      </c>
      <c r="C171" s="4">
        <f t="shared" si="12"/>
        <v>-9308464.9348233603</v>
      </c>
      <c r="D171" s="4">
        <f t="shared" si="13"/>
        <v>5857899.4043183839</v>
      </c>
      <c r="E171" s="4">
        <f t="shared" si="14"/>
        <v>15166364.339141745</v>
      </c>
      <c r="F171" s="4">
        <f t="shared" si="15"/>
        <v>0</v>
      </c>
      <c r="G171" s="4">
        <f t="shared" si="16"/>
        <v>0</v>
      </c>
      <c r="H171" s="6">
        <f t="shared" si="17"/>
        <v>-946012857.82147777</v>
      </c>
    </row>
    <row r="172" spans="2:8" x14ac:dyDescent="0.3">
      <c r="B172">
        <v>162</v>
      </c>
      <c r="C172" s="4">
        <f t="shared" si="12"/>
        <v>-9460128.5782147776</v>
      </c>
      <c r="D172" s="4">
        <f t="shared" si="13"/>
        <v>5857899.4043183839</v>
      </c>
      <c r="E172" s="4">
        <f t="shared" si="14"/>
        <v>20318027.982533161</v>
      </c>
      <c r="F172" s="4">
        <f t="shared" si="15"/>
        <v>5000000</v>
      </c>
      <c r="G172" s="4">
        <f t="shared" si="16"/>
        <v>0</v>
      </c>
      <c r="H172" s="6">
        <f t="shared" si="17"/>
        <v>-966330885.80401099</v>
      </c>
    </row>
    <row r="173" spans="2:8" x14ac:dyDescent="0.3">
      <c r="B173">
        <v>163</v>
      </c>
      <c r="C173" s="4">
        <f t="shared" si="12"/>
        <v>-9663308.8580401093</v>
      </c>
      <c r="D173" s="4">
        <f t="shared" si="13"/>
        <v>5857899.4043183839</v>
      </c>
      <c r="E173" s="4">
        <f t="shared" si="14"/>
        <v>15521208.262358494</v>
      </c>
      <c r="F173" s="4">
        <f t="shared" si="15"/>
        <v>0</v>
      </c>
      <c r="G173" s="4">
        <f t="shared" si="16"/>
        <v>0</v>
      </c>
      <c r="H173" s="6">
        <f t="shared" si="17"/>
        <v>-981852094.06636953</v>
      </c>
    </row>
    <row r="174" spans="2:8" x14ac:dyDescent="0.3">
      <c r="B174">
        <v>164</v>
      </c>
      <c r="C174" s="4">
        <f t="shared" si="12"/>
        <v>-9818520.9406636953</v>
      </c>
      <c r="D174" s="4">
        <f t="shared" si="13"/>
        <v>5857899.4043183839</v>
      </c>
      <c r="E174" s="4">
        <f t="shared" si="14"/>
        <v>15676420.34498208</v>
      </c>
      <c r="F174" s="4">
        <f t="shared" si="15"/>
        <v>0</v>
      </c>
      <c r="G174" s="4">
        <f t="shared" si="16"/>
        <v>0</v>
      </c>
      <c r="H174" s="6">
        <f t="shared" si="17"/>
        <v>-997528514.41135156</v>
      </c>
    </row>
    <row r="175" spans="2:8" x14ac:dyDescent="0.3">
      <c r="B175">
        <v>165</v>
      </c>
      <c r="C175" s="4">
        <f t="shared" si="12"/>
        <v>-9975285.1441135164</v>
      </c>
      <c r="D175" s="4">
        <f t="shared" si="13"/>
        <v>5857899.4043183839</v>
      </c>
      <c r="E175" s="4">
        <f t="shared" si="14"/>
        <v>15833184.548431899</v>
      </c>
      <c r="F175" s="4">
        <f t="shared" si="15"/>
        <v>0</v>
      </c>
      <c r="G175" s="4">
        <f t="shared" si="16"/>
        <v>0</v>
      </c>
      <c r="H175" s="6">
        <f t="shared" si="17"/>
        <v>-1013361698.9597834</v>
      </c>
    </row>
    <row r="176" spans="2:8" x14ac:dyDescent="0.3">
      <c r="B176">
        <v>166</v>
      </c>
      <c r="C176" s="4">
        <f t="shared" si="12"/>
        <v>-10133616.989597835</v>
      </c>
      <c r="D176" s="4">
        <f t="shared" si="13"/>
        <v>5857899.4043183839</v>
      </c>
      <c r="E176" s="4">
        <f t="shared" si="14"/>
        <v>15991516.393916219</v>
      </c>
      <c r="F176" s="4">
        <f t="shared" si="15"/>
        <v>0</v>
      </c>
      <c r="G176" s="4">
        <f t="shared" si="16"/>
        <v>0</v>
      </c>
      <c r="H176" s="6">
        <f t="shared" si="17"/>
        <v>-1029353215.3536997</v>
      </c>
    </row>
    <row r="177" spans="2:8" x14ac:dyDescent="0.3">
      <c r="B177">
        <v>167</v>
      </c>
      <c r="C177" s="4">
        <f t="shared" si="12"/>
        <v>-10293532.153536998</v>
      </c>
      <c r="D177" s="4">
        <f t="shared" si="13"/>
        <v>5857899.4043183839</v>
      </c>
      <c r="E177" s="4">
        <f t="shared" si="14"/>
        <v>16151431.557855383</v>
      </c>
      <c r="F177" s="4">
        <f t="shared" si="15"/>
        <v>0</v>
      </c>
      <c r="G177" s="4">
        <f t="shared" si="16"/>
        <v>0</v>
      </c>
      <c r="H177" s="6">
        <f t="shared" si="17"/>
        <v>-1045504646.9115551</v>
      </c>
    </row>
    <row r="178" spans="2:8" x14ac:dyDescent="0.3">
      <c r="B178">
        <v>168</v>
      </c>
      <c r="C178" s="4">
        <f t="shared" si="12"/>
        <v>-10455046.469115552</v>
      </c>
      <c r="D178" s="4">
        <f t="shared" si="13"/>
        <v>5857899.4043183839</v>
      </c>
      <c r="E178" s="4">
        <f t="shared" si="14"/>
        <v>21312945.873433936</v>
      </c>
      <c r="F178" s="4">
        <f t="shared" si="15"/>
        <v>5000000</v>
      </c>
      <c r="G178" s="4">
        <f t="shared" si="16"/>
        <v>0</v>
      </c>
      <c r="H178" s="6">
        <f t="shared" si="17"/>
        <v>-1066817592.784989</v>
      </c>
    </row>
    <row r="179" spans="2:8" x14ac:dyDescent="0.3">
      <c r="B179">
        <v>169</v>
      </c>
      <c r="C179" s="4">
        <f t="shared" si="12"/>
        <v>-10668175.927849891</v>
      </c>
      <c r="D179" s="4">
        <f t="shared" si="13"/>
        <v>5857899.4043183839</v>
      </c>
      <c r="E179" s="4">
        <f t="shared" si="14"/>
        <v>16526075.332168274</v>
      </c>
      <c r="F179" s="4">
        <f t="shared" si="15"/>
        <v>0</v>
      </c>
      <c r="G179" s="4">
        <f t="shared" si="16"/>
        <v>0</v>
      </c>
      <c r="H179" s="6">
        <f t="shared" si="17"/>
        <v>-1083343668.1171572</v>
      </c>
    </row>
    <row r="180" spans="2:8" x14ac:dyDescent="0.3">
      <c r="B180">
        <v>170</v>
      </c>
      <c r="C180" s="4">
        <f t="shared" si="12"/>
        <v>-10833436.681171572</v>
      </c>
      <c r="D180" s="4">
        <f t="shared" si="13"/>
        <v>5857899.4043183839</v>
      </c>
      <c r="E180" s="4">
        <f t="shared" si="14"/>
        <v>16691336.085489955</v>
      </c>
      <c r="F180" s="4">
        <f t="shared" si="15"/>
        <v>0</v>
      </c>
      <c r="G180" s="4">
        <f t="shared" si="16"/>
        <v>0</v>
      </c>
      <c r="H180" s="6">
        <f t="shared" si="17"/>
        <v>-1100035004.2026472</v>
      </c>
    </row>
    <row r="181" spans="2:8" x14ac:dyDescent="0.3">
      <c r="B181">
        <v>171</v>
      </c>
      <c r="C181" s="4">
        <f t="shared" si="12"/>
        <v>-11000350.042026473</v>
      </c>
      <c r="D181" s="4">
        <f t="shared" si="13"/>
        <v>5857899.4043183839</v>
      </c>
      <c r="E181" s="4">
        <f t="shared" si="14"/>
        <v>16858249.446344856</v>
      </c>
      <c r="F181" s="4">
        <f t="shared" si="15"/>
        <v>0</v>
      </c>
      <c r="G181" s="4">
        <f t="shared" si="16"/>
        <v>0</v>
      </c>
      <c r="H181" s="6">
        <f t="shared" si="17"/>
        <v>-1116893253.6489921</v>
      </c>
    </row>
    <row r="182" spans="2:8" x14ac:dyDescent="0.3">
      <c r="B182">
        <v>172</v>
      </c>
      <c r="C182" s="4">
        <f t="shared" si="12"/>
        <v>-11168932.536489921</v>
      </c>
      <c r="D182" s="4">
        <f t="shared" si="13"/>
        <v>5857899.4043183839</v>
      </c>
      <c r="E182" s="4">
        <f t="shared" si="14"/>
        <v>17026831.940808304</v>
      </c>
      <c r="F182" s="4">
        <f t="shared" si="15"/>
        <v>0</v>
      </c>
      <c r="G182" s="4">
        <f t="shared" si="16"/>
        <v>0</v>
      </c>
      <c r="H182" s="6">
        <f t="shared" si="17"/>
        <v>-1133920085.5898004</v>
      </c>
    </row>
    <row r="183" spans="2:8" x14ac:dyDescent="0.3">
      <c r="B183">
        <v>173</v>
      </c>
      <c r="C183" s="4">
        <f t="shared" si="12"/>
        <v>-11339200.855898004</v>
      </c>
      <c r="D183" s="4">
        <f t="shared" si="13"/>
        <v>5857899.4043183839</v>
      </c>
      <c r="E183" s="4">
        <f t="shared" si="14"/>
        <v>17197100.260216389</v>
      </c>
      <c r="F183" s="4">
        <f t="shared" si="15"/>
        <v>0</v>
      </c>
      <c r="G183" s="4">
        <f t="shared" si="16"/>
        <v>0</v>
      </c>
      <c r="H183" s="6">
        <f t="shared" si="17"/>
        <v>-1151117185.8500168</v>
      </c>
    </row>
    <row r="184" spans="2:8" x14ac:dyDescent="0.3">
      <c r="B184">
        <v>174</v>
      </c>
      <c r="C184" s="4">
        <f t="shared" si="12"/>
        <v>-11511171.858500168</v>
      </c>
      <c r="D184" s="4">
        <f t="shared" si="13"/>
        <v>5857899.4043183839</v>
      </c>
      <c r="E184" s="4">
        <f t="shared" si="14"/>
        <v>22369071.262818553</v>
      </c>
      <c r="F184" s="4">
        <f t="shared" si="15"/>
        <v>5000000</v>
      </c>
      <c r="G184" s="4">
        <f t="shared" si="16"/>
        <v>0</v>
      </c>
      <c r="H184" s="6">
        <f t="shared" si="17"/>
        <v>-1173486257.1128354</v>
      </c>
    </row>
    <row r="185" spans="2:8" x14ac:dyDescent="0.3">
      <c r="B185">
        <v>175</v>
      </c>
      <c r="C185" s="4">
        <f t="shared" si="12"/>
        <v>-11734862.571128353</v>
      </c>
      <c r="D185" s="4">
        <f t="shared" si="13"/>
        <v>5857899.4043183839</v>
      </c>
      <c r="E185" s="4">
        <f t="shared" si="14"/>
        <v>17592761.975446738</v>
      </c>
      <c r="F185" s="4">
        <f t="shared" si="15"/>
        <v>0</v>
      </c>
      <c r="G185" s="4">
        <f t="shared" si="16"/>
        <v>0</v>
      </c>
      <c r="H185" s="6">
        <f t="shared" si="17"/>
        <v>-1191079019.0882821</v>
      </c>
    </row>
    <row r="186" spans="2:8" x14ac:dyDescent="0.3">
      <c r="B186">
        <v>176</v>
      </c>
      <c r="C186" s="4">
        <f t="shared" si="12"/>
        <v>-11910790.190882821</v>
      </c>
      <c r="D186" s="4">
        <f t="shared" si="13"/>
        <v>5857899.4043183839</v>
      </c>
      <c r="E186" s="4">
        <f t="shared" si="14"/>
        <v>17768689.595201205</v>
      </c>
      <c r="F186" s="4">
        <f t="shared" si="15"/>
        <v>0</v>
      </c>
      <c r="G186" s="4">
        <f t="shared" si="16"/>
        <v>0</v>
      </c>
      <c r="H186" s="6">
        <f t="shared" si="17"/>
        <v>-1208847708.6834834</v>
      </c>
    </row>
    <row r="187" spans="2:8" x14ac:dyDescent="0.3">
      <c r="B187">
        <v>177</v>
      </c>
      <c r="C187" s="4">
        <f t="shared" si="12"/>
        <v>-12088477.086834833</v>
      </c>
      <c r="D187" s="4">
        <f t="shared" si="13"/>
        <v>5857899.4043183839</v>
      </c>
      <c r="E187" s="4">
        <f t="shared" si="14"/>
        <v>17946376.491153218</v>
      </c>
      <c r="F187" s="4">
        <f t="shared" si="15"/>
        <v>0</v>
      </c>
      <c r="G187" s="4">
        <f t="shared" si="16"/>
        <v>0</v>
      </c>
      <c r="H187" s="6">
        <f t="shared" si="17"/>
        <v>-1226794085.1746366</v>
      </c>
    </row>
    <row r="188" spans="2:8" x14ac:dyDescent="0.3">
      <c r="B188">
        <v>178</v>
      </c>
      <c r="C188" s="4">
        <f t="shared" si="12"/>
        <v>-12267940.851746365</v>
      </c>
      <c r="D188" s="4">
        <f t="shared" si="13"/>
        <v>5857899.4043183839</v>
      </c>
      <c r="E188" s="4">
        <f t="shared" si="14"/>
        <v>18125840.25606475</v>
      </c>
      <c r="F188" s="4">
        <f t="shared" si="15"/>
        <v>0</v>
      </c>
      <c r="G188" s="4">
        <f t="shared" si="16"/>
        <v>0</v>
      </c>
      <c r="H188" s="6">
        <f t="shared" si="17"/>
        <v>-1244919925.4307013</v>
      </c>
    </row>
    <row r="189" spans="2:8" x14ac:dyDescent="0.3">
      <c r="B189">
        <v>179</v>
      </c>
      <c r="C189" s="4">
        <f t="shared" si="12"/>
        <v>-12449199.254307013</v>
      </c>
      <c r="D189" s="4">
        <f t="shared" si="13"/>
        <v>5857899.4043183839</v>
      </c>
      <c r="E189" s="4">
        <f t="shared" si="14"/>
        <v>18307098.658625398</v>
      </c>
      <c r="F189" s="4">
        <f t="shared" si="15"/>
        <v>0</v>
      </c>
      <c r="G189" s="4">
        <f t="shared" si="16"/>
        <v>0</v>
      </c>
      <c r="H189" s="6">
        <f t="shared" si="17"/>
        <v>-1263227024.0893266</v>
      </c>
    </row>
    <row r="190" spans="2:8" x14ac:dyDescent="0.3">
      <c r="B190">
        <v>180</v>
      </c>
      <c r="C190" s="4">
        <f t="shared" si="12"/>
        <v>-12632270.240893267</v>
      </c>
      <c r="D190" s="4">
        <f t="shared" si="13"/>
        <v>5857899.4043183839</v>
      </c>
      <c r="E190" s="4">
        <f t="shared" si="14"/>
        <v>23490169.645211652</v>
      </c>
      <c r="F190" s="4">
        <f t="shared" si="15"/>
        <v>5000000</v>
      </c>
      <c r="G190" s="4">
        <f t="shared" si="16"/>
        <v>0</v>
      </c>
      <c r="H190" s="6">
        <f t="shared" si="17"/>
        <v>-1286717193.7345383</v>
      </c>
    </row>
    <row r="191" spans="2:8" x14ac:dyDescent="0.3">
      <c r="B191">
        <v>181</v>
      </c>
      <c r="C191" s="4">
        <f t="shared" si="12"/>
        <v>-12867171.937345384</v>
      </c>
      <c r="D191" s="4">
        <f t="shared" si="13"/>
        <v>5857899.4043183839</v>
      </c>
      <c r="E191" s="4">
        <f t="shared" si="14"/>
        <v>18725071.341663767</v>
      </c>
      <c r="F191" s="4">
        <f t="shared" si="15"/>
        <v>0</v>
      </c>
      <c r="G191" s="4">
        <f t="shared" si="16"/>
        <v>0</v>
      </c>
      <c r="H191" s="6">
        <f t="shared" si="17"/>
        <v>-1305442265.0762022</v>
      </c>
    </row>
    <row r="192" spans="2:8" x14ac:dyDescent="0.3">
      <c r="B192">
        <v>182</v>
      </c>
      <c r="C192" s="4">
        <f t="shared" si="12"/>
        <v>-13054422.650762022</v>
      </c>
      <c r="D192" s="4">
        <f t="shared" si="13"/>
        <v>5857899.4043183839</v>
      </c>
      <c r="E192" s="4">
        <f t="shared" si="14"/>
        <v>18912322.055080406</v>
      </c>
      <c r="F192" s="4">
        <f t="shared" si="15"/>
        <v>0</v>
      </c>
      <c r="G192" s="4">
        <f t="shared" si="16"/>
        <v>0</v>
      </c>
      <c r="H192" s="6">
        <f t="shared" si="17"/>
        <v>-1324354587.1312826</v>
      </c>
    </row>
    <row r="193" spans="2:8" x14ac:dyDescent="0.3">
      <c r="B193">
        <v>183</v>
      </c>
      <c r="C193" s="4">
        <f t="shared" si="12"/>
        <v>-13243545.871312827</v>
      </c>
      <c r="D193" s="4">
        <f t="shared" si="13"/>
        <v>5857899.4043183839</v>
      </c>
      <c r="E193" s="4">
        <f t="shared" si="14"/>
        <v>19101445.275631212</v>
      </c>
      <c r="F193" s="4">
        <f t="shared" si="15"/>
        <v>0</v>
      </c>
      <c r="G193" s="4">
        <f t="shared" si="16"/>
        <v>0</v>
      </c>
      <c r="H193" s="6">
        <f t="shared" si="17"/>
        <v>-1343456032.4069138</v>
      </c>
    </row>
    <row r="194" spans="2:8" x14ac:dyDescent="0.3">
      <c r="B194">
        <v>184</v>
      </c>
      <c r="C194" s="4">
        <f t="shared" si="12"/>
        <v>-13434560.324069139</v>
      </c>
      <c r="D194" s="4">
        <f t="shared" si="13"/>
        <v>5857899.4043183839</v>
      </c>
      <c r="E194" s="4">
        <f t="shared" si="14"/>
        <v>19292459.728387523</v>
      </c>
      <c r="F194" s="4">
        <f t="shared" si="15"/>
        <v>0</v>
      </c>
      <c r="G194" s="4">
        <f t="shared" si="16"/>
        <v>0</v>
      </c>
      <c r="H194" s="6">
        <f t="shared" si="17"/>
        <v>-1362748492.1353014</v>
      </c>
    </row>
    <row r="195" spans="2:8" x14ac:dyDescent="0.3">
      <c r="B195">
        <v>185</v>
      </c>
      <c r="C195" s="4">
        <f t="shared" si="12"/>
        <v>-13627484.921353014</v>
      </c>
      <c r="D195" s="4">
        <f t="shared" si="13"/>
        <v>5857899.4043183839</v>
      </c>
      <c r="E195" s="4">
        <f t="shared" si="14"/>
        <v>19485384.325671397</v>
      </c>
      <c r="F195" s="4">
        <f t="shared" si="15"/>
        <v>0</v>
      </c>
      <c r="G195" s="4">
        <f t="shared" si="16"/>
        <v>0</v>
      </c>
      <c r="H195" s="6">
        <f t="shared" si="17"/>
        <v>-1382233876.4609728</v>
      </c>
    </row>
    <row r="196" spans="2:8" x14ac:dyDescent="0.3">
      <c r="B196">
        <v>186</v>
      </c>
      <c r="C196" s="4">
        <f t="shared" si="12"/>
        <v>-13822338.764609728</v>
      </c>
      <c r="D196" s="4">
        <f t="shared" si="13"/>
        <v>5857899.4043183839</v>
      </c>
      <c r="E196" s="4">
        <f t="shared" si="14"/>
        <v>24680238.168928113</v>
      </c>
      <c r="F196" s="4">
        <f t="shared" si="15"/>
        <v>5000000</v>
      </c>
      <c r="G196" s="4">
        <f t="shared" si="16"/>
        <v>0</v>
      </c>
      <c r="H196" s="6">
        <f t="shared" si="17"/>
        <v>-1406914114.6299009</v>
      </c>
    </row>
    <row r="197" spans="2:8" x14ac:dyDescent="0.3">
      <c r="B197">
        <v>187</v>
      </c>
      <c r="C197" s="4">
        <f t="shared" si="12"/>
        <v>-14069141.14629901</v>
      </c>
      <c r="D197" s="4">
        <f t="shared" si="13"/>
        <v>5857899.4043183839</v>
      </c>
      <c r="E197" s="4">
        <f t="shared" si="14"/>
        <v>19927040.550617393</v>
      </c>
      <c r="F197" s="4">
        <f t="shared" si="15"/>
        <v>0</v>
      </c>
      <c r="G197" s="4">
        <f t="shared" si="16"/>
        <v>0</v>
      </c>
      <c r="H197" s="6">
        <f t="shared" si="17"/>
        <v>-1426841155.1805184</v>
      </c>
    </row>
    <row r="198" spans="2:8" x14ac:dyDescent="0.3">
      <c r="B198">
        <v>188</v>
      </c>
      <c r="C198" s="4">
        <f t="shared" si="12"/>
        <v>-14268411.551805183</v>
      </c>
      <c r="D198" s="4">
        <f t="shared" si="13"/>
        <v>5857899.4043183839</v>
      </c>
      <c r="E198" s="4">
        <f t="shared" si="14"/>
        <v>20126310.956123568</v>
      </c>
      <c r="F198" s="4">
        <f t="shared" si="15"/>
        <v>0</v>
      </c>
      <c r="G198" s="4">
        <f t="shared" si="16"/>
        <v>0</v>
      </c>
      <c r="H198" s="6">
        <f t="shared" si="17"/>
        <v>-1446967466.136642</v>
      </c>
    </row>
    <row r="199" spans="2:8" x14ac:dyDescent="0.3">
      <c r="B199">
        <v>189</v>
      </c>
      <c r="C199" s="4">
        <f t="shared" si="12"/>
        <v>-14469674.66136642</v>
      </c>
      <c r="D199" s="4">
        <f t="shared" si="13"/>
        <v>5857899.4043183839</v>
      </c>
      <c r="E199" s="4">
        <f t="shared" si="14"/>
        <v>20327574.065684803</v>
      </c>
      <c r="F199" s="4">
        <f t="shared" si="15"/>
        <v>0</v>
      </c>
      <c r="G199" s="4">
        <f t="shared" si="16"/>
        <v>0</v>
      </c>
      <c r="H199" s="6">
        <f t="shared" si="17"/>
        <v>-1467295040.2023268</v>
      </c>
    </row>
    <row r="200" spans="2:8" x14ac:dyDescent="0.3">
      <c r="B200">
        <v>190</v>
      </c>
      <c r="C200" s="4">
        <f t="shared" si="12"/>
        <v>-14672950.402023269</v>
      </c>
      <c r="D200" s="4">
        <f t="shared" si="13"/>
        <v>5857899.4043183839</v>
      </c>
      <c r="E200" s="4">
        <f t="shared" si="14"/>
        <v>20530849.806341652</v>
      </c>
      <c r="F200" s="4">
        <f t="shared" si="15"/>
        <v>0</v>
      </c>
      <c r="G200" s="4">
        <f t="shared" si="16"/>
        <v>0</v>
      </c>
      <c r="H200" s="6">
        <f t="shared" si="17"/>
        <v>-1487825890.0086684</v>
      </c>
    </row>
    <row r="201" spans="2:8" x14ac:dyDescent="0.3">
      <c r="B201">
        <v>191</v>
      </c>
      <c r="C201" s="4">
        <f t="shared" si="12"/>
        <v>-14878258.900086684</v>
      </c>
      <c r="D201" s="4">
        <f t="shared" si="13"/>
        <v>5857899.4043183839</v>
      </c>
      <c r="E201" s="4">
        <f t="shared" si="14"/>
        <v>20736158.304405067</v>
      </c>
      <c r="F201" s="4">
        <f t="shared" si="15"/>
        <v>0</v>
      </c>
      <c r="G201" s="4">
        <f t="shared" si="16"/>
        <v>0</v>
      </c>
      <c r="H201" s="6">
        <f t="shared" si="17"/>
        <v>-1508562048.3130734</v>
      </c>
    </row>
    <row r="202" spans="2:8" x14ac:dyDescent="0.3">
      <c r="B202">
        <v>192</v>
      </c>
      <c r="C202" s="4">
        <f t="shared" si="12"/>
        <v>-15085620.483130734</v>
      </c>
      <c r="D202" s="4">
        <f t="shared" si="13"/>
        <v>5857899.4043183839</v>
      </c>
      <c r="E202" s="4">
        <f t="shared" si="14"/>
        <v>25943519.887449119</v>
      </c>
      <c r="F202" s="4">
        <f t="shared" si="15"/>
        <v>5000000</v>
      </c>
      <c r="G202" s="4">
        <f t="shared" si="16"/>
        <v>0</v>
      </c>
      <c r="H202" s="6">
        <f t="shared" si="17"/>
        <v>-1534505568.2005224</v>
      </c>
    </row>
    <row r="203" spans="2:8" x14ac:dyDescent="0.3">
      <c r="B203">
        <v>193</v>
      </c>
      <c r="C203" s="4">
        <f t="shared" si="12"/>
        <v>-15345055.682005225</v>
      </c>
      <c r="D203" s="4">
        <f t="shared" si="13"/>
        <v>5857899.4043183839</v>
      </c>
      <c r="E203" s="4">
        <f t="shared" si="14"/>
        <v>21202955.086323608</v>
      </c>
      <c r="F203" s="4">
        <f t="shared" si="15"/>
        <v>0</v>
      </c>
      <c r="G203" s="4">
        <f t="shared" si="16"/>
        <v>0</v>
      </c>
      <c r="H203" s="6">
        <f t="shared" si="17"/>
        <v>-1555708523.2868459</v>
      </c>
    </row>
    <row r="204" spans="2:8" x14ac:dyDescent="0.3">
      <c r="B204">
        <v>194</v>
      </c>
      <c r="C204" s="4">
        <f t="shared" ref="C204:C267" si="18">H203*$C$5</f>
        <v>-15557085.232868459</v>
      </c>
      <c r="D204" s="4">
        <f t="shared" ref="D204:D267" si="19">IF(B204&lt;=$C$6,0,$C$7)</f>
        <v>5857899.4043183839</v>
      </c>
      <c r="E204" s="4">
        <f t="shared" ref="E204:E267" si="20">D204-C204+F204+G204</f>
        <v>21414984.637186844</v>
      </c>
      <c r="F204" s="4">
        <f t="shared" ref="F204:F267" si="21">IF(MOD(B204,$F$3)=0,$F$2,0)</f>
        <v>0</v>
      </c>
      <c r="G204" s="4">
        <f t="shared" ref="G204:G267" si="22">IF(B204=$C$3,$F$4*$C$2,0)</f>
        <v>0</v>
      </c>
      <c r="H204" s="6">
        <f t="shared" ref="H204:H267" si="23">H203-E204</f>
        <v>-1577123507.9240327</v>
      </c>
    </row>
    <row r="205" spans="2:8" x14ac:dyDescent="0.3">
      <c r="B205">
        <v>195</v>
      </c>
      <c r="C205" s="4">
        <f t="shared" si="18"/>
        <v>-15771235.079240328</v>
      </c>
      <c r="D205" s="4">
        <f t="shared" si="19"/>
        <v>5857899.4043183839</v>
      </c>
      <c r="E205" s="4">
        <f t="shared" si="20"/>
        <v>21629134.483558711</v>
      </c>
      <c r="F205" s="4">
        <f t="shared" si="21"/>
        <v>0</v>
      </c>
      <c r="G205" s="4">
        <f t="shared" si="22"/>
        <v>0</v>
      </c>
      <c r="H205" s="6">
        <f t="shared" si="23"/>
        <v>-1598752642.4075913</v>
      </c>
    </row>
    <row r="206" spans="2:8" x14ac:dyDescent="0.3">
      <c r="B206">
        <v>196</v>
      </c>
      <c r="C206" s="4">
        <f t="shared" si="18"/>
        <v>-15987526.424075915</v>
      </c>
      <c r="D206" s="4">
        <f t="shared" si="19"/>
        <v>5857899.4043183839</v>
      </c>
      <c r="E206" s="4">
        <f t="shared" si="20"/>
        <v>21845425.828394298</v>
      </c>
      <c r="F206" s="4">
        <f t="shared" si="21"/>
        <v>0</v>
      </c>
      <c r="G206" s="4">
        <f t="shared" si="22"/>
        <v>0</v>
      </c>
      <c r="H206" s="6">
        <f t="shared" si="23"/>
        <v>-1620598068.2359858</v>
      </c>
    </row>
    <row r="207" spans="2:8" x14ac:dyDescent="0.3">
      <c r="B207">
        <v>197</v>
      </c>
      <c r="C207" s="4">
        <f t="shared" si="18"/>
        <v>-16205980.682359857</v>
      </c>
      <c r="D207" s="4">
        <f t="shared" si="19"/>
        <v>5857899.4043183839</v>
      </c>
      <c r="E207" s="4">
        <f t="shared" si="20"/>
        <v>22063880.08667824</v>
      </c>
      <c r="F207" s="4">
        <f t="shared" si="21"/>
        <v>0</v>
      </c>
      <c r="G207" s="4">
        <f t="shared" si="22"/>
        <v>0</v>
      </c>
      <c r="H207" s="6">
        <f t="shared" si="23"/>
        <v>-1642661948.322664</v>
      </c>
    </row>
    <row r="208" spans="2:8" x14ac:dyDescent="0.3">
      <c r="B208">
        <v>198</v>
      </c>
      <c r="C208" s="4">
        <f t="shared" si="18"/>
        <v>-16426619.48322664</v>
      </c>
      <c r="D208" s="4">
        <f t="shared" si="19"/>
        <v>5857899.4043183839</v>
      </c>
      <c r="E208" s="4">
        <f t="shared" si="20"/>
        <v>27284518.887545023</v>
      </c>
      <c r="F208" s="4">
        <f t="shared" si="21"/>
        <v>5000000</v>
      </c>
      <c r="G208" s="4">
        <f t="shared" si="22"/>
        <v>0</v>
      </c>
      <c r="H208" s="6">
        <f t="shared" si="23"/>
        <v>-1669946467.2102091</v>
      </c>
    </row>
    <row r="209" spans="2:8" x14ac:dyDescent="0.3">
      <c r="B209">
        <v>199</v>
      </c>
      <c r="C209" s="4">
        <f t="shared" si="18"/>
        <v>-16699464.672102092</v>
      </c>
      <c r="D209" s="4">
        <f t="shared" si="19"/>
        <v>5857899.4043183839</v>
      </c>
      <c r="E209" s="4">
        <f t="shared" si="20"/>
        <v>22557364.076420475</v>
      </c>
      <c r="F209" s="4">
        <f t="shared" si="21"/>
        <v>0</v>
      </c>
      <c r="G209" s="4">
        <f t="shared" si="22"/>
        <v>0</v>
      </c>
      <c r="H209" s="6">
        <f t="shared" si="23"/>
        <v>-1692503831.2866297</v>
      </c>
    </row>
    <row r="210" spans="2:8" x14ac:dyDescent="0.3">
      <c r="B210">
        <v>200</v>
      </c>
      <c r="C210" s="4">
        <f t="shared" si="18"/>
        <v>-16925038.312866297</v>
      </c>
      <c r="D210" s="4">
        <f t="shared" si="19"/>
        <v>5857899.4043183839</v>
      </c>
      <c r="E210" s="4">
        <f t="shared" si="20"/>
        <v>22782937.717184681</v>
      </c>
      <c r="F210" s="4">
        <f t="shared" si="21"/>
        <v>0</v>
      </c>
      <c r="G210" s="4">
        <f t="shared" si="22"/>
        <v>0</v>
      </c>
      <c r="H210" s="6">
        <f t="shared" si="23"/>
        <v>-1715286769.0038145</v>
      </c>
    </row>
    <row r="211" spans="2:8" x14ac:dyDescent="0.3">
      <c r="B211">
        <v>201</v>
      </c>
      <c r="C211" s="4">
        <f t="shared" si="18"/>
        <v>-17152867.690038145</v>
      </c>
      <c r="D211" s="4">
        <f t="shared" si="19"/>
        <v>5857899.4043183839</v>
      </c>
      <c r="E211" s="4">
        <f t="shared" si="20"/>
        <v>23010767.094356529</v>
      </c>
      <c r="F211" s="4">
        <f t="shared" si="21"/>
        <v>0</v>
      </c>
      <c r="G211" s="4">
        <f t="shared" si="22"/>
        <v>0</v>
      </c>
      <c r="H211" s="6">
        <f t="shared" si="23"/>
        <v>-1738297536.098171</v>
      </c>
    </row>
    <row r="212" spans="2:8" x14ac:dyDescent="0.3">
      <c r="B212">
        <v>202</v>
      </c>
      <c r="C212" s="4">
        <f t="shared" si="18"/>
        <v>-17382975.36098171</v>
      </c>
      <c r="D212" s="4">
        <f t="shared" si="19"/>
        <v>5857899.4043183839</v>
      </c>
      <c r="E212" s="4">
        <f t="shared" si="20"/>
        <v>23240874.765300095</v>
      </c>
      <c r="F212" s="4">
        <f t="shared" si="21"/>
        <v>0</v>
      </c>
      <c r="G212" s="4">
        <f t="shared" si="22"/>
        <v>0</v>
      </c>
      <c r="H212" s="6">
        <f t="shared" si="23"/>
        <v>-1761538410.863471</v>
      </c>
    </row>
    <row r="213" spans="2:8" x14ac:dyDescent="0.3">
      <c r="B213">
        <v>203</v>
      </c>
      <c r="C213" s="4">
        <f t="shared" si="18"/>
        <v>-17615384.10863471</v>
      </c>
      <c r="D213" s="4">
        <f t="shared" si="19"/>
        <v>5857899.4043183839</v>
      </c>
      <c r="E213" s="4">
        <f t="shared" si="20"/>
        <v>23473283.512953095</v>
      </c>
      <c r="F213" s="4">
        <f t="shared" si="21"/>
        <v>0</v>
      </c>
      <c r="G213" s="4">
        <f t="shared" si="22"/>
        <v>0</v>
      </c>
      <c r="H213" s="6">
        <f t="shared" si="23"/>
        <v>-1785011694.3764241</v>
      </c>
    </row>
    <row r="214" spans="2:8" x14ac:dyDescent="0.3">
      <c r="B214">
        <v>204</v>
      </c>
      <c r="C214" s="4">
        <f t="shared" si="18"/>
        <v>-17850116.94376424</v>
      </c>
      <c r="D214" s="4">
        <f t="shared" si="19"/>
        <v>5857899.4043183839</v>
      </c>
      <c r="E214" s="4">
        <f t="shared" si="20"/>
        <v>28708016.348082624</v>
      </c>
      <c r="F214" s="4">
        <f t="shared" si="21"/>
        <v>5000000</v>
      </c>
      <c r="G214" s="4">
        <f t="shared" si="22"/>
        <v>0</v>
      </c>
      <c r="H214" s="6">
        <f t="shared" si="23"/>
        <v>-1813719710.7245066</v>
      </c>
    </row>
    <row r="215" spans="2:8" x14ac:dyDescent="0.3">
      <c r="B215">
        <v>205</v>
      </c>
      <c r="C215" s="4">
        <f t="shared" si="18"/>
        <v>-18137197.107245065</v>
      </c>
      <c r="D215" s="4">
        <f t="shared" si="19"/>
        <v>5857899.4043183839</v>
      </c>
      <c r="E215" s="4">
        <f t="shared" si="20"/>
        <v>23995096.51156345</v>
      </c>
      <c r="F215" s="4">
        <f t="shared" si="21"/>
        <v>0</v>
      </c>
      <c r="G215" s="4">
        <f t="shared" si="22"/>
        <v>0</v>
      </c>
      <c r="H215" s="6">
        <f t="shared" si="23"/>
        <v>-1837714807.2360702</v>
      </c>
    </row>
    <row r="216" spans="2:8" x14ac:dyDescent="0.3">
      <c r="B216">
        <v>206</v>
      </c>
      <c r="C216" s="4">
        <f t="shared" si="18"/>
        <v>-18377148.072360702</v>
      </c>
      <c r="D216" s="4">
        <f t="shared" si="19"/>
        <v>5857899.4043183839</v>
      </c>
      <c r="E216" s="4">
        <f t="shared" si="20"/>
        <v>24235047.476679087</v>
      </c>
      <c r="F216" s="4">
        <f t="shared" si="21"/>
        <v>0</v>
      </c>
      <c r="G216" s="4">
        <f t="shared" si="22"/>
        <v>0</v>
      </c>
      <c r="H216" s="6">
        <f t="shared" si="23"/>
        <v>-1861949854.7127492</v>
      </c>
    </row>
    <row r="217" spans="2:8" x14ac:dyDescent="0.3">
      <c r="B217">
        <v>207</v>
      </c>
      <c r="C217" s="4">
        <f t="shared" si="18"/>
        <v>-18619498.547127493</v>
      </c>
      <c r="D217" s="4">
        <f t="shared" si="19"/>
        <v>5857899.4043183839</v>
      </c>
      <c r="E217" s="4">
        <f t="shared" si="20"/>
        <v>24477397.951445878</v>
      </c>
      <c r="F217" s="4">
        <f t="shared" si="21"/>
        <v>0</v>
      </c>
      <c r="G217" s="4">
        <f t="shared" si="22"/>
        <v>0</v>
      </c>
      <c r="H217" s="6">
        <f t="shared" si="23"/>
        <v>-1886427252.6641951</v>
      </c>
    </row>
    <row r="218" spans="2:8" x14ac:dyDescent="0.3">
      <c r="B218">
        <v>208</v>
      </c>
      <c r="C218" s="4">
        <f t="shared" si="18"/>
        <v>-18864272.52664195</v>
      </c>
      <c r="D218" s="4">
        <f t="shared" si="19"/>
        <v>5857899.4043183839</v>
      </c>
      <c r="E218" s="4">
        <f t="shared" si="20"/>
        <v>24722171.930960335</v>
      </c>
      <c r="F218" s="4">
        <f t="shared" si="21"/>
        <v>0</v>
      </c>
      <c r="G218" s="4">
        <f t="shared" si="22"/>
        <v>0</v>
      </c>
      <c r="H218" s="6">
        <f t="shared" si="23"/>
        <v>-1911149424.5951555</v>
      </c>
    </row>
    <row r="219" spans="2:8" x14ac:dyDescent="0.3">
      <c r="B219">
        <v>209</v>
      </c>
      <c r="C219" s="4">
        <f t="shared" si="18"/>
        <v>-19111494.245951556</v>
      </c>
      <c r="D219" s="4">
        <f t="shared" si="19"/>
        <v>5857899.4043183839</v>
      </c>
      <c r="E219" s="4">
        <f t="shared" si="20"/>
        <v>24969393.65026994</v>
      </c>
      <c r="F219" s="4">
        <f t="shared" si="21"/>
        <v>0</v>
      </c>
      <c r="G219" s="4">
        <f t="shared" si="22"/>
        <v>0</v>
      </c>
      <c r="H219" s="6">
        <f t="shared" si="23"/>
        <v>-1936118818.2454255</v>
      </c>
    </row>
    <row r="220" spans="2:8" x14ac:dyDescent="0.3">
      <c r="B220">
        <v>210</v>
      </c>
      <c r="C220" s="4">
        <f t="shared" si="18"/>
        <v>-19361188.182454254</v>
      </c>
      <c r="D220" s="4">
        <f t="shared" si="19"/>
        <v>5857899.4043183839</v>
      </c>
      <c r="E220" s="4">
        <f t="shared" si="20"/>
        <v>30219087.586772639</v>
      </c>
      <c r="F220" s="4">
        <f t="shared" si="21"/>
        <v>5000000</v>
      </c>
      <c r="G220" s="4">
        <f t="shared" si="22"/>
        <v>0</v>
      </c>
      <c r="H220" s="6">
        <f t="shared" si="23"/>
        <v>-1966337905.8321981</v>
      </c>
    </row>
    <row r="221" spans="2:8" x14ac:dyDescent="0.3">
      <c r="B221">
        <v>211</v>
      </c>
      <c r="C221" s="4">
        <f t="shared" si="18"/>
        <v>-19663379.058321983</v>
      </c>
      <c r="D221" s="4">
        <f t="shared" si="19"/>
        <v>5857899.4043183839</v>
      </c>
      <c r="E221" s="4">
        <f t="shared" si="20"/>
        <v>25521278.462640367</v>
      </c>
      <c r="F221" s="4">
        <f t="shared" si="21"/>
        <v>0</v>
      </c>
      <c r="G221" s="4">
        <f t="shared" si="22"/>
        <v>0</v>
      </c>
      <c r="H221" s="6">
        <f t="shared" si="23"/>
        <v>-1991859184.2948384</v>
      </c>
    </row>
    <row r="222" spans="2:8" x14ac:dyDescent="0.3">
      <c r="B222">
        <v>212</v>
      </c>
      <c r="C222" s="4">
        <f t="shared" si="18"/>
        <v>-19918591.842948385</v>
      </c>
      <c r="D222" s="4">
        <f t="shared" si="19"/>
        <v>5857899.4043183839</v>
      </c>
      <c r="E222" s="4">
        <f t="shared" si="20"/>
        <v>25776491.247266769</v>
      </c>
      <c r="F222" s="4">
        <f t="shared" si="21"/>
        <v>0</v>
      </c>
      <c r="G222" s="4">
        <f t="shared" si="22"/>
        <v>0</v>
      </c>
      <c r="H222" s="6">
        <f t="shared" si="23"/>
        <v>-2017635675.5421052</v>
      </c>
    </row>
    <row r="223" spans="2:8" x14ac:dyDescent="0.3">
      <c r="B223">
        <v>213</v>
      </c>
      <c r="C223" s="4">
        <f t="shared" si="18"/>
        <v>-20176356.755421054</v>
      </c>
      <c r="D223" s="4">
        <f t="shared" si="19"/>
        <v>5857899.4043183839</v>
      </c>
      <c r="E223" s="4">
        <f t="shared" si="20"/>
        <v>26034256.159739438</v>
      </c>
      <c r="F223" s="4">
        <f t="shared" si="21"/>
        <v>0</v>
      </c>
      <c r="G223" s="4">
        <f t="shared" si="22"/>
        <v>0</v>
      </c>
      <c r="H223" s="6">
        <f t="shared" si="23"/>
        <v>-2043669931.7018447</v>
      </c>
    </row>
    <row r="224" spans="2:8" x14ac:dyDescent="0.3">
      <c r="B224">
        <v>214</v>
      </c>
      <c r="C224" s="4">
        <f t="shared" si="18"/>
        <v>-20436699.317018446</v>
      </c>
      <c r="D224" s="4">
        <f t="shared" si="19"/>
        <v>5857899.4043183839</v>
      </c>
      <c r="E224" s="4">
        <f t="shared" si="20"/>
        <v>26294598.72133683</v>
      </c>
      <c r="F224" s="4">
        <f t="shared" si="21"/>
        <v>0</v>
      </c>
      <c r="G224" s="4">
        <f t="shared" si="22"/>
        <v>0</v>
      </c>
      <c r="H224" s="6">
        <f t="shared" si="23"/>
        <v>-2069964530.4231815</v>
      </c>
    </row>
    <row r="225" spans="2:8" x14ac:dyDescent="0.3">
      <c r="B225">
        <v>215</v>
      </c>
      <c r="C225" s="4">
        <f t="shared" si="18"/>
        <v>-20699645.304231815</v>
      </c>
      <c r="D225" s="4">
        <f t="shared" si="19"/>
        <v>5857899.4043183839</v>
      </c>
      <c r="E225" s="4">
        <f t="shared" si="20"/>
        <v>26557544.7085502</v>
      </c>
      <c r="F225" s="4">
        <f t="shared" si="21"/>
        <v>0</v>
      </c>
      <c r="G225" s="4">
        <f t="shared" si="22"/>
        <v>0</v>
      </c>
      <c r="H225" s="6">
        <f t="shared" si="23"/>
        <v>-2096522075.1317317</v>
      </c>
    </row>
    <row r="226" spans="2:8" x14ac:dyDescent="0.3">
      <c r="B226">
        <v>216</v>
      </c>
      <c r="C226" s="4">
        <f t="shared" si="18"/>
        <v>-20965220.751317319</v>
      </c>
      <c r="D226" s="4">
        <f t="shared" si="19"/>
        <v>5857899.4043183839</v>
      </c>
      <c r="E226" s="4">
        <f t="shared" si="20"/>
        <v>31823120.155635703</v>
      </c>
      <c r="F226" s="4">
        <f t="shared" si="21"/>
        <v>5000000</v>
      </c>
      <c r="G226" s="4">
        <f t="shared" si="22"/>
        <v>0</v>
      </c>
      <c r="H226" s="6">
        <f t="shared" si="23"/>
        <v>-2128345195.2873673</v>
      </c>
    </row>
    <row r="227" spans="2:8" x14ac:dyDescent="0.3">
      <c r="B227">
        <v>217</v>
      </c>
      <c r="C227" s="4">
        <f t="shared" si="18"/>
        <v>-21283451.952873673</v>
      </c>
      <c r="D227" s="4">
        <f t="shared" si="19"/>
        <v>5857899.4043183839</v>
      </c>
      <c r="E227" s="4">
        <f t="shared" si="20"/>
        <v>27141351.357192058</v>
      </c>
      <c r="F227" s="4">
        <f t="shared" si="21"/>
        <v>0</v>
      </c>
      <c r="G227" s="4">
        <f t="shared" si="22"/>
        <v>0</v>
      </c>
      <c r="H227" s="6">
        <f t="shared" si="23"/>
        <v>-2155486546.6445594</v>
      </c>
    </row>
    <row r="228" spans="2:8" x14ac:dyDescent="0.3">
      <c r="B228">
        <v>218</v>
      </c>
      <c r="C228" s="4">
        <f t="shared" si="18"/>
        <v>-21554865.466445595</v>
      </c>
      <c r="D228" s="4">
        <f t="shared" si="19"/>
        <v>5857899.4043183839</v>
      </c>
      <c r="E228" s="4">
        <f t="shared" si="20"/>
        <v>27412764.87076398</v>
      </c>
      <c r="F228" s="4">
        <f t="shared" si="21"/>
        <v>0</v>
      </c>
      <c r="G228" s="4">
        <f t="shared" si="22"/>
        <v>0</v>
      </c>
      <c r="H228" s="6">
        <f t="shared" si="23"/>
        <v>-2182899311.5153232</v>
      </c>
    </row>
    <row r="229" spans="2:8" x14ac:dyDescent="0.3">
      <c r="B229">
        <v>219</v>
      </c>
      <c r="C229" s="4">
        <f t="shared" si="18"/>
        <v>-21828993.115153231</v>
      </c>
      <c r="D229" s="4">
        <f t="shared" si="19"/>
        <v>5857899.4043183839</v>
      </c>
      <c r="E229" s="4">
        <f t="shared" si="20"/>
        <v>27686892.519471616</v>
      </c>
      <c r="F229" s="4">
        <f t="shared" si="21"/>
        <v>0</v>
      </c>
      <c r="G229" s="4">
        <f t="shared" si="22"/>
        <v>0</v>
      </c>
      <c r="H229" s="6">
        <f t="shared" si="23"/>
        <v>-2210586204.0347948</v>
      </c>
    </row>
    <row r="230" spans="2:8" x14ac:dyDescent="0.3">
      <c r="B230">
        <v>220</v>
      </c>
      <c r="C230" s="4">
        <f t="shared" si="18"/>
        <v>-22105862.040347949</v>
      </c>
      <c r="D230" s="4">
        <f t="shared" si="19"/>
        <v>5857899.4043183839</v>
      </c>
      <c r="E230" s="4">
        <f t="shared" si="20"/>
        <v>27963761.444666333</v>
      </c>
      <c r="F230" s="4">
        <f t="shared" si="21"/>
        <v>0</v>
      </c>
      <c r="G230" s="4">
        <f t="shared" si="22"/>
        <v>0</v>
      </c>
      <c r="H230" s="6">
        <f t="shared" si="23"/>
        <v>-2238549965.4794612</v>
      </c>
    </row>
    <row r="231" spans="2:8" x14ac:dyDescent="0.3">
      <c r="B231">
        <v>221</v>
      </c>
      <c r="C231" s="4">
        <f t="shared" si="18"/>
        <v>-22385499.654794611</v>
      </c>
      <c r="D231" s="4">
        <f t="shared" si="19"/>
        <v>5857899.4043183839</v>
      </c>
      <c r="E231" s="4">
        <f t="shared" si="20"/>
        <v>28243399.059112996</v>
      </c>
      <c r="F231" s="4">
        <f t="shared" si="21"/>
        <v>0</v>
      </c>
      <c r="G231" s="4">
        <f t="shared" si="22"/>
        <v>0</v>
      </c>
      <c r="H231" s="6">
        <f t="shared" si="23"/>
        <v>-2266793364.5385742</v>
      </c>
    </row>
    <row r="232" spans="2:8" x14ac:dyDescent="0.3">
      <c r="B232">
        <v>222</v>
      </c>
      <c r="C232" s="4">
        <f t="shared" si="18"/>
        <v>-22667933.645385742</v>
      </c>
      <c r="D232" s="4">
        <f t="shared" si="19"/>
        <v>5857899.4043183839</v>
      </c>
      <c r="E232" s="4">
        <f t="shared" si="20"/>
        <v>33525833.049704127</v>
      </c>
      <c r="F232" s="4">
        <f t="shared" si="21"/>
        <v>5000000</v>
      </c>
      <c r="G232" s="4">
        <f t="shared" si="22"/>
        <v>0</v>
      </c>
      <c r="H232" s="6">
        <f t="shared" si="23"/>
        <v>-2300319197.5882783</v>
      </c>
    </row>
    <row r="233" spans="2:8" x14ac:dyDescent="0.3">
      <c r="B233">
        <v>223</v>
      </c>
      <c r="C233" s="4">
        <f t="shared" si="18"/>
        <v>-23003191.975882784</v>
      </c>
      <c r="D233" s="4">
        <f t="shared" si="19"/>
        <v>5857899.4043183839</v>
      </c>
      <c r="E233" s="4">
        <f t="shared" si="20"/>
        <v>28861091.380201168</v>
      </c>
      <c r="F233" s="4">
        <f t="shared" si="21"/>
        <v>0</v>
      </c>
      <c r="G233" s="4">
        <f t="shared" si="22"/>
        <v>0</v>
      </c>
      <c r="H233" s="6">
        <f t="shared" si="23"/>
        <v>-2329180288.9684796</v>
      </c>
    </row>
    <row r="234" spans="2:8" x14ac:dyDescent="0.3">
      <c r="B234">
        <v>224</v>
      </c>
      <c r="C234" s="4">
        <f t="shared" si="18"/>
        <v>-23291802.889684796</v>
      </c>
      <c r="D234" s="4">
        <f t="shared" si="19"/>
        <v>5857899.4043183839</v>
      </c>
      <c r="E234" s="4">
        <f t="shared" si="20"/>
        <v>29149702.294003181</v>
      </c>
      <c r="F234" s="4">
        <f t="shared" si="21"/>
        <v>0</v>
      </c>
      <c r="G234" s="4">
        <f t="shared" si="22"/>
        <v>0</v>
      </c>
      <c r="H234" s="6">
        <f t="shared" si="23"/>
        <v>-2358329991.2624826</v>
      </c>
    </row>
    <row r="235" spans="2:8" x14ac:dyDescent="0.3">
      <c r="B235">
        <v>225</v>
      </c>
      <c r="C235" s="4">
        <f t="shared" si="18"/>
        <v>-23583299.912624829</v>
      </c>
      <c r="D235" s="4">
        <f t="shared" si="19"/>
        <v>5857899.4043183839</v>
      </c>
      <c r="E235" s="4">
        <f t="shared" si="20"/>
        <v>29441199.316943213</v>
      </c>
      <c r="F235" s="4">
        <f t="shared" si="21"/>
        <v>0</v>
      </c>
      <c r="G235" s="4">
        <f t="shared" si="22"/>
        <v>0</v>
      </c>
      <c r="H235" s="6">
        <f t="shared" si="23"/>
        <v>-2387771190.5794258</v>
      </c>
    </row>
    <row r="236" spans="2:8" x14ac:dyDescent="0.3">
      <c r="B236">
        <v>226</v>
      </c>
      <c r="C236" s="4">
        <f t="shared" si="18"/>
        <v>-23877711.905794259</v>
      </c>
      <c r="D236" s="4">
        <f t="shared" si="19"/>
        <v>5857899.4043183839</v>
      </c>
      <c r="E236" s="4">
        <f t="shared" si="20"/>
        <v>29735611.310112644</v>
      </c>
      <c r="F236" s="4">
        <f t="shared" si="21"/>
        <v>0</v>
      </c>
      <c r="G236" s="4">
        <f t="shared" si="22"/>
        <v>0</v>
      </c>
      <c r="H236" s="6">
        <f t="shared" si="23"/>
        <v>-2417506801.8895383</v>
      </c>
    </row>
    <row r="237" spans="2:8" x14ac:dyDescent="0.3">
      <c r="B237">
        <v>227</v>
      </c>
      <c r="C237" s="4">
        <f t="shared" si="18"/>
        <v>-24175068.018895384</v>
      </c>
      <c r="D237" s="4">
        <f t="shared" si="19"/>
        <v>5857899.4043183839</v>
      </c>
      <c r="E237" s="4">
        <f t="shared" si="20"/>
        <v>30032967.423213769</v>
      </c>
      <c r="F237" s="4">
        <f t="shared" si="21"/>
        <v>0</v>
      </c>
      <c r="G237" s="4">
        <f t="shared" si="22"/>
        <v>0</v>
      </c>
      <c r="H237" s="6">
        <f t="shared" si="23"/>
        <v>-2447539769.3127522</v>
      </c>
    </row>
    <row r="238" spans="2:8" x14ac:dyDescent="0.3">
      <c r="B238">
        <v>228</v>
      </c>
      <c r="C238" s="4">
        <f t="shared" si="18"/>
        <v>-24475397.693127524</v>
      </c>
      <c r="D238" s="4">
        <f t="shared" si="19"/>
        <v>5857899.4043183839</v>
      </c>
      <c r="E238" s="4">
        <f t="shared" si="20"/>
        <v>35333297.097445905</v>
      </c>
      <c r="F238" s="4">
        <f t="shared" si="21"/>
        <v>5000000</v>
      </c>
      <c r="G238" s="4">
        <f t="shared" si="22"/>
        <v>0</v>
      </c>
      <c r="H238" s="6">
        <f t="shared" si="23"/>
        <v>-2482873066.4101982</v>
      </c>
    </row>
    <row r="239" spans="2:8" x14ac:dyDescent="0.3">
      <c r="B239">
        <v>229</v>
      </c>
      <c r="C239" s="4">
        <f t="shared" si="18"/>
        <v>-24828730.664101984</v>
      </c>
      <c r="D239" s="4">
        <f t="shared" si="19"/>
        <v>5857899.4043183839</v>
      </c>
      <c r="E239" s="4">
        <f t="shared" si="20"/>
        <v>30686630.068420369</v>
      </c>
      <c r="F239" s="4">
        <f t="shared" si="21"/>
        <v>0</v>
      </c>
      <c r="G239" s="4">
        <f t="shared" si="22"/>
        <v>0</v>
      </c>
      <c r="H239" s="6">
        <f t="shared" si="23"/>
        <v>-2513559696.4786186</v>
      </c>
    </row>
    <row r="240" spans="2:8" x14ac:dyDescent="0.3">
      <c r="B240">
        <v>230</v>
      </c>
      <c r="C240" s="4">
        <f t="shared" si="18"/>
        <v>-25135596.964786187</v>
      </c>
      <c r="D240" s="4">
        <f t="shared" si="19"/>
        <v>5857899.4043183839</v>
      </c>
      <c r="E240" s="4">
        <f t="shared" si="20"/>
        <v>30993496.369104572</v>
      </c>
      <c r="F240" s="4">
        <f t="shared" si="21"/>
        <v>0</v>
      </c>
      <c r="G240" s="4">
        <f t="shared" si="22"/>
        <v>0</v>
      </c>
      <c r="H240" s="6">
        <f t="shared" si="23"/>
        <v>-2544553192.847723</v>
      </c>
    </row>
    <row r="241" spans="2:8" x14ac:dyDescent="0.3">
      <c r="B241">
        <v>231</v>
      </c>
      <c r="C241" s="4">
        <f t="shared" si="18"/>
        <v>-25445531.928477231</v>
      </c>
      <c r="D241" s="4">
        <f t="shared" si="19"/>
        <v>5857899.4043183839</v>
      </c>
      <c r="E241" s="4">
        <f t="shared" si="20"/>
        <v>31303431.332795616</v>
      </c>
      <c r="F241" s="4">
        <f t="shared" si="21"/>
        <v>0</v>
      </c>
      <c r="G241" s="4">
        <f t="shared" si="22"/>
        <v>0</v>
      </c>
      <c r="H241" s="6">
        <f t="shared" si="23"/>
        <v>-2575856624.1805186</v>
      </c>
    </row>
    <row r="242" spans="2:8" x14ac:dyDescent="0.3">
      <c r="B242">
        <v>232</v>
      </c>
      <c r="C242" s="4">
        <f t="shared" si="18"/>
        <v>-25758566.241805188</v>
      </c>
      <c r="D242" s="4">
        <f t="shared" si="19"/>
        <v>5857899.4043183839</v>
      </c>
      <c r="E242" s="4">
        <f t="shared" si="20"/>
        <v>31616465.646123573</v>
      </c>
      <c r="F242" s="4">
        <f t="shared" si="21"/>
        <v>0</v>
      </c>
      <c r="G242" s="4">
        <f t="shared" si="22"/>
        <v>0</v>
      </c>
      <c r="H242" s="6">
        <f t="shared" si="23"/>
        <v>-2607473089.826642</v>
      </c>
    </row>
    <row r="243" spans="2:8" x14ac:dyDescent="0.3">
      <c r="B243">
        <v>233</v>
      </c>
      <c r="C243" s="4">
        <f t="shared" si="18"/>
        <v>-26074730.89826642</v>
      </c>
      <c r="D243" s="4">
        <f t="shared" si="19"/>
        <v>5857899.4043183839</v>
      </c>
      <c r="E243" s="4">
        <f t="shared" si="20"/>
        <v>31932630.302584805</v>
      </c>
      <c r="F243" s="4">
        <f t="shared" si="21"/>
        <v>0</v>
      </c>
      <c r="G243" s="4">
        <f t="shared" si="22"/>
        <v>0</v>
      </c>
      <c r="H243" s="6">
        <f t="shared" si="23"/>
        <v>-2639405720.1292267</v>
      </c>
    </row>
    <row r="244" spans="2:8" x14ac:dyDescent="0.3">
      <c r="B244">
        <v>234</v>
      </c>
      <c r="C244" s="4">
        <f t="shared" si="18"/>
        <v>-26394057.201292269</v>
      </c>
      <c r="D244" s="4">
        <f t="shared" si="19"/>
        <v>5857899.4043183839</v>
      </c>
      <c r="E244" s="4">
        <f t="shared" si="20"/>
        <v>37251956.605610654</v>
      </c>
      <c r="F244" s="4">
        <f t="shared" si="21"/>
        <v>5000000</v>
      </c>
      <c r="G244" s="4">
        <f t="shared" si="22"/>
        <v>0</v>
      </c>
      <c r="H244" s="6">
        <f t="shared" si="23"/>
        <v>-2676657676.7348375</v>
      </c>
    </row>
    <row r="245" spans="2:8" x14ac:dyDescent="0.3">
      <c r="B245">
        <v>235</v>
      </c>
      <c r="C245" s="4">
        <f t="shared" si="18"/>
        <v>-26766576.767348375</v>
      </c>
      <c r="D245" s="4">
        <f t="shared" si="19"/>
        <v>5857899.4043183839</v>
      </c>
      <c r="E245" s="4">
        <f t="shared" si="20"/>
        <v>32624476.17166676</v>
      </c>
      <c r="F245" s="4">
        <f t="shared" si="21"/>
        <v>0</v>
      </c>
      <c r="G245" s="4">
        <f t="shared" si="22"/>
        <v>0</v>
      </c>
      <c r="H245" s="6">
        <f t="shared" si="23"/>
        <v>-2709282152.9065042</v>
      </c>
    </row>
    <row r="246" spans="2:8" x14ac:dyDescent="0.3">
      <c r="B246">
        <v>236</v>
      </c>
      <c r="C246" s="4">
        <f t="shared" si="18"/>
        <v>-27092821.529065043</v>
      </c>
      <c r="D246" s="4">
        <f t="shared" si="19"/>
        <v>5857899.4043183839</v>
      </c>
      <c r="E246" s="4">
        <f t="shared" si="20"/>
        <v>32950720.933383428</v>
      </c>
      <c r="F246" s="4">
        <f t="shared" si="21"/>
        <v>0</v>
      </c>
      <c r="G246" s="4">
        <f t="shared" si="22"/>
        <v>0</v>
      </c>
      <c r="H246" s="6">
        <f t="shared" si="23"/>
        <v>-2742232873.8398876</v>
      </c>
    </row>
    <row r="247" spans="2:8" x14ac:dyDescent="0.3">
      <c r="B247">
        <v>237</v>
      </c>
      <c r="C247" s="4">
        <f t="shared" si="18"/>
        <v>-27422328.738398876</v>
      </c>
      <c r="D247" s="4">
        <f t="shared" si="19"/>
        <v>5857899.4043183839</v>
      </c>
      <c r="E247" s="4">
        <f t="shared" si="20"/>
        <v>33280228.142717261</v>
      </c>
      <c r="F247" s="4">
        <f t="shared" si="21"/>
        <v>0</v>
      </c>
      <c r="G247" s="4">
        <f t="shared" si="22"/>
        <v>0</v>
      </c>
      <c r="H247" s="6">
        <f t="shared" si="23"/>
        <v>-2775513101.982605</v>
      </c>
    </row>
    <row r="248" spans="2:8" x14ac:dyDescent="0.3">
      <c r="B248">
        <v>238</v>
      </c>
      <c r="C248" s="4">
        <f t="shared" si="18"/>
        <v>-27755131.019826051</v>
      </c>
      <c r="D248" s="4">
        <f t="shared" si="19"/>
        <v>5857899.4043183839</v>
      </c>
      <c r="E248" s="4">
        <f t="shared" si="20"/>
        <v>33613030.424144432</v>
      </c>
      <c r="F248" s="4">
        <f t="shared" si="21"/>
        <v>0</v>
      </c>
      <c r="G248" s="4">
        <f t="shared" si="22"/>
        <v>0</v>
      </c>
      <c r="H248" s="6">
        <f t="shared" si="23"/>
        <v>-2809126132.4067492</v>
      </c>
    </row>
    <row r="249" spans="2:8" x14ac:dyDescent="0.3">
      <c r="B249">
        <v>239</v>
      </c>
      <c r="C249" s="4">
        <f t="shared" si="18"/>
        <v>-28091261.324067492</v>
      </c>
      <c r="D249" s="4">
        <f t="shared" si="19"/>
        <v>5857899.4043183839</v>
      </c>
      <c r="E249" s="4">
        <f t="shared" si="20"/>
        <v>33949160.728385873</v>
      </c>
      <c r="F249" s="4">
        <f t="shared" si="21"/>
        <v>0</v>
      </c>
      <c r="G249" s="4">
        <f t="shared" si="22"/>
        <v>0</v>
      </c>
      <c r="H249" s="6">
        <f t="shared" si="23"/>
        <v>-2843075293.1351352</v>
      </c>
    </row>
    <row r="250" spans="2:8" x14ac:dyDescent="0.3">
      <c r="B250">
        <v>240</v>
      </c>
      <c r="C250" s="4">
        <f t="shared" si="18"/>
        <v>-28430752.931351352</v>
      </c>
      <c r="D250" s="4">
        <f t="shared" si="19"/>
        <v>5857899.4043183839</v>
      </c>
      <c r="E250" s="4">
        <f t="shared" si="20"/>
        <v>39288652.335669734</v>
      </c>
      <c r="F250" s="4">
        <f t="shared" si="21"/>
        <v>5000000</v>
      </c>
      <c r="G250" s="4">
        <f t="shared" si="22"/>
        <v>0</v>
      </c>
      <c r="H250" s="6">
        <f t="shared" si="23"/>
        <v>-2882363945.4708047</v>
      </c>
    </row>
    <row r="251" spans="2:8" x14ac:dyDescent="0.3">
      <c r="B251">
        <v>241</v>
      </c>
      <c r="C251" s="4">
        <f t="shared" si="18"/>
        <v>-28823639.454708047</v>
      </c>
      <c r="D251" s="4">
        <f t="shared" si="19"/>
        <v>5857899.4043183839</v>
      </c>
      <c r="E251" s="4">
        <f t="shared" si="20"/>
        <v>34681538.859026432</v>
      </c>
      <c r="F251" s="4">
        <f t="shared" si="21"/>
        <v>0</v>
      </c>
      <c r="G251" s="4">
        <f t="shared" si="22"/>
        <v>0</v>
      </c>
      <c r="H251" s="6">
        <f t="shared" si="23"/>
        <v>-2917045484.3298311</v>
      </c>
    </row>
    <row r="252" spans="2:8" x14ac:dyDescent="0.3">
      <c r="B252">
        <v>242</v>
      </c>
      <c r="C252" s="4">
        <f t="shared" si="18"/>
        <v>-29170454.843298312</v>
      </c>
      <c r="D252" s="4">
        <f t="shared" si="19"/>
        <v>5857899.4043183839</v>
      </c>
      <c r="E252" s="4">
        <f t="shared" si="20"/>
        <v>35028354.247616693</v>
      </c>
      <c r="F252" s="4">
        <f t="shared" si="21"/>
        <v>0</v>
      </c>
      <c r="G252" s="4">
        <f t="shared" si="22"/>
        <v>0</v>
      </c>
      <c r="H252" s="6">
        <f t="shared" si="23"/>
        <v>-2952073838.5774479</v>
      </c>
    </row>
    <row r="253" spans="2:8" x14ac:dyDescent="0.3">
      <c r="B253">
        <v>243</v>
      </c>
      <c r="C253" s="4">
        <f t="shared" si="18"/>
        <v>-29520738.385774478</v>
      </c>
      <c r="D253" s="4">
        <f t="shared" si="19"/>
        <v>5857899.4043183839</v>
      </c>
      <c r="E253" s="4">
        <f t="shared" si="20"/>
        <v>35378637.790092863</v>
      </c>
      <c r="F253" s="4">
        <f t="shared" si="21"/>
        <v>0</v>
      </c>
      <c r="G253" s="4">
        <f t="shared" si="22"/>
        <v>0</v>
      </c>
      <c r="H253" s="6">
        <f t="shared" si="23"/>
        <v>-2987452476.3675408</v>
      </c>
    </row>
    <row r="254" spans="2:8" x14ac:dyDescent="0.3">
      <c r="B254">
        <v>244</v>
      </c>
      <c r="C254" s="4">
        <f t="shared" si="18"/>
        <v>-29874524.76367541</v>
      </c>
      <c r="D254" s="4">
        <f t="shared" si="19"/>
        <v>5857899.4043183839</v>
      </c>
      <c r="E254" s="4">
        <f t="shared" si="20"/>
        <v>35732424.167993791</v>
      </c>
      <c r="F254" s="4">
        <f t="shared" si="21"/>
        <v>0</v>
      </c>
      <c r="G254" s="4">
        <f t="shared" si="22"/>
        <v>0</v>
      </c>
      <c r="H254" s="6">
        <f t="shared" si="23"/>
        <v>-3023184900.5355349</v>
      </c>
    </row>
    <row r="255" spans="2:8" x14ac:dyDescent="0.3">
      <c r="B255">
        <v>245</v>
      </c>
      <c r="C255" s="4">
        <f t="shared" si="18"/>
        <v>-30231849.005355351</v>
      </c>
      <c r="D255" s="4">
        <f t="shared" si="19"/>
        <v>5857899.4043183839</v>
      </c>
      <c r="E255" s="4">
        <f t="shared" si="20"/>
        <v>36089748.409673735</v>
      </c>
      <c r="F255" s="4">
        <f t="shared" si="21"/>
        <v>0</v>
      </c>
      <c r="G255" s="4">
        <f t="shared" si="22"/>
        <v>0</v>
      </c>
      <c r="H255" s="6">
        <f t="shared" si="23"/>
        <v>-3059274648.9452085</v>
      </c>
    </row>
    <row r="256" spans="2:8" x14ac:dyDescent="0.3">
      <c r="B256">
        <v>246</v>
      </c>
      <c r="C256" s="4">
        <f t="shared" si="18"/>
        <v>-30592746.489452086</v>
      </c>
      <c r="D256" s="4">
        <f t="shared" si="19"/>
        <v>5857899.4043183839</v>
      </c>
      <c r="E256" s="4">
        <f t="shared" si="20"/>
        <v>41450645.893770471</v>
      </c>
      <c r="F256" s="4">
        <f t="shared" si="21"/>
        <v>5000000</v>
      </c>
      <c r="G256" s="4">
        <f t="shared" si="22"/>
        <v>0</v>
      </c>
      <c r="H256" s="6">
        <f t="shared" si="23"/>
        <v>-3100725294.8389792</v>
      </c>
    </row>
    <row r="257" spans="2:8" x14ac:dyDescent="0.3">
      <c r="B257">
        <v>247</v>
      </c>
      <c r="C257" s="4">
        <f t="shared" si="18"/>
        <v>-31007252.948389795</v>
      </c>
      <c r="D257" s="4">
        <f t="shared" si="19"/>
        <v>5857899.4043183839</v>
      </c>
      <c r="E257" s="4">
        <f t="shared" si="20"/>
        <v>36865152.352708176</v>
      </c>
      <c r="F257" s="4">
        <f t="shared" si="21"/>
        <v>0</v>
      </c>
      <c r="G257" s="4">
        <f t="shared" si="22"/>
        <v>0</v>
      </c>
      <c r="H257" s="6">
        <f t="shared" si="23"/>
        <v>-3137590447.1916876</v>
      </c>
    </row>
    <row r="258" spans="2:8" x14ac:dyDescent="0.3">
      <c r="B258">
        <v>248</v>
      </c>
      <c r="C258" s="4">
        <f t="shared" si="18"/>
        <v>-31375904.471916877</v>
      </c>
      <c r="D258" s="4">
        <f t="shared" si="19"/>
        <v>5857899.4043183839</v>
      </c>
      <c r="E258" s="4">
        <f t="shared" si="20"/>
        <v>37233803.876235262</v>
      </c>
      <c r="F258" s="4">
        <f t="shared" si="21"/>
        <v>0</v>
      </c>
      <c r="G258" s="4">
        <f t="shared" si="22"/>
        <v>0</v>
      </c>
      <c r="H258" s="6">
        <f t="shared" si="23"/>
        <v>-3174824251.0679231</v>
      </c>
    </row>
    <row r="259" spans="2:8" x14ac:dyDescent="0.3">
      <c r="B259">
        <v>249</v>
      </c>
      <c r="C259" s="4">
        <f t="shared" si="18"/>
        <v>-31748242.51067923</v>
      </c>
      <c r="D259" s="4">
        <f t="shared" si="19"/>
        <v>5857899.4043183839</v>
      </c>
      <c r="E259" s="4">
        <f t="shared" si="20"/>
        <v>37606141.914997615</v>
      </c>
      <c r="F259" s="4">
        <f t="shared" si="21"/>
        <v>0</v>
      </c>
      <c r="G259" s="4">
        <f t="shared" si="22"/>
        <v>0</v>
      </c>
      <c r="H259" s="6">
        <f t="shared" si="23"/>
        <v>-3212430392.9829206</v>
      </c>
    </row>
    <row r="260" spans="2:8" x14ac:dyDescent="0.3">
      <c r="B260">
        <v>250</v>
      </c>
      <c r="C260" s="4">
        <f t="shared" si="18"/>
        <v>-32124303.929829206</v>
      </c>
      <c r="D260" s="4">
        <f t="shared" si="19"/>
        <v>5857899.4043183839</v>
      </c>
      <c r="E260" s="4">
        <f t="shared" si="20"/>
        <v>37982203.334147587</v>
      </c>
      <c r="F260" s="4">
        <f t="shared" si="21"/>
        <v>0</v>
      </c>
      <c r="G260" s="4">
        <f t="shared" si="22"/>
        <v>0</v>
      </c>
      <c r="H260" s="6">
        <f t="shared" si="23"/>
        <v>-3250412596.3170681</v>
      </c>
    </row>
    <row r="261" spans="2:8" x14ac:dyDescent="0.3">
      <c r="B261">
        <v>251</v>
      </c>
      <c r="C261" s="4">
        <f t="shared" si="18"/>
        <v>-32504125.963170681</v>
      </c>
      <c r="D261" s="4">
        <f t="shared" si="19"/>
        <v>5857899.4043183839</v>
      </c>
      <c r="E261" s="4">
        <f t="shared" si="20"/>
        <v>38362025.367489062</v>
      </c>
      <c r="F261" s="4">
        <f t="shared" si="21"/>
        <v>0</v>
      </c>
      <c r="G261" s="4">
        <f t="shared" si="22"/>
        <v>0</v>
      </c>
      <c r="H261" s="6">
        <f t="shared" si="23"/>
        <v>-3288774621.684557</v>
      </c>
    </row>
    <row r="262" spans="2:8" x14ac:dyDescent="0.3">
      <c r="B262">
        <v>252</v>
      </c>
      <c r="C262" s="4">
        <f t="shared" si="18"/>
        <v>-32887746.216845572</v>
      </c>
      <c r="D262" s="4">
        <f t="shared" si="19"/>
        <v>5857899.4043183839</v>
      </c>
      <c r="E262" s="4">
        <f t="shared" si="20"/>
        <v>43745645.621163957</v>
      </c>
      <c r="F262" s="4">
        <f t="shared" si="21"/>
        <v>5000000</v>
      </c>
      <c r="G262" s="4">
        <f t="shared" si="22"/>
        <v>0</v>
      </c>
      <c r="H262" s="6">
        <f t="shared" si="23"/>
        <v>-3332520267.3057208</v>
      </c>
    </row>
    <row r="263" spans="2:8" x14ac:dyDescent="0.3">
      <c r="B263">
        <v>253</v>
      </c>
      <c r="C263" s="4">
        <f t="shared" si="18"/>
        <v>-33325202.67305721</v>
      </c>
      <c r="D263" s="4">
        <f t="shared" si="19"/>
        <v>5857899.4043183839</v>
      </c>
      <c r="E263" s="4">
        <f t="shared" si="20"/>
        <v>39183102.077375591</v>
      </c>
      <c r="F263" s="4">
        <f t="shared" si="21"/>
        <v>0</v>
      </c>
      <c r="G263" s="4">
        <f t="shared" si="22"/>
        <v>0</v>
      </c>
      <c r="H263" s="6">
        <f t="shared" si="23"/>
        <v>-3371703369.3830962</v>
      </c>
    </row>
    <row r="264" spans="2:8" x14ac:dyDescent="0.3">
      <c r="B264">
        <v>254</v>
      </c>
      <c r="C264" s="4">
        <f t="shared" si="18"/>
        <v>-33717033.693830959</v>
      </c>
      <c r="D264" s="4">
        <f t="shared" si="19"/>
        <v>5857899.4043183839</v>
      </c>
      <c r="E264" s="4">
        <f t="shared" si="20"/>
        <v>39574933.098149344</v>
      </c>
      <c r="F264" s="4">
        <f t="shared" si="21"/>
        <v>0</v>
      </c>
      <c r="G264" s="4">
        <f t="shared" si="22"/>
        <v>0</v>
      </c>
      <c r="H264" s="6">
        <f t="shared" si="23"/>
        <v>-3411278302.4812455</v>
      </c>
    </row>
    <row r="265" spans="2:8" x14ac:dyDescent="0.3">
      <c r="B265">
        <v>255</v>
      </c>
      <c r="C265" s="4">
        <f t="shared" si="18"/>
        <v>-34112783.024812452</v>
      </c>
      <c r="D265" s="4">
        <f t="shared" si="19"/>
        <v>5857899.4043183839</v>
      </c>
      <c r="E265" s="4">
        <f t="shared" si="20"/>
        <v>39970682.429130837</v>
      </c>
      <c r="F265" s="4">
        <f t="shared" si="21"/>
        <v>0</v>
      </c>
      <c r="G265" s="4">
        <f t="shared" si="22"/>
        <v>0</v>
      </c>
      <c r="H265" s="6">
        <f t="shared" si="23"/>
        <v>-3451248984.9103765</v>
      </c>
    </row>
    <row r="266" spans="2:8" x14ac:dyDescent="0.3">
      <c r="B266">
        <v>256</v>
      </c>
      <c r="C266" s="4">
        <f t="shared" si="18"/>
        <v>-34512489.849103764</v>
      </c>
      <c r="D266" s="4">
        <f t="shared" si="19"/>
        <v>5857899.4043183839</v>
      </c>
      <c r="E266" s="4">
        <f t="shared" si="20"/>
        <v>40370389.253422149</v>
      </c>
      <c r="F266" s="4">
        <f t="shared" si="21"/>
        <v>0</v>
      </c>
      <c r="G266" s="4">
        <f t="shared" si="22"/>
        <v>0</v>
      </c>
      <c r="H266" s="6">
        <f t="shared" si="23"/>
        <v>-3491619374.1637988</v>
      </c>
    </row>
    <row r="267" spans="2:8" x14ac:dyDescent="0.3">
      <c r="B267">
        <v>257</v>
      </c>
      <c r="C267" s="4">
        <f t="shared" si="18"/>
        <v>-34916193.74163799</v>
      </c>
      <c r="D267" s="4">
        <f t="shared" si="19"/>
        <v>5857899.4043183839</v>
      </c>
      <c r="E267" s="4">
        <f t="shared" si="20"/>
        <v>40774093.145956375</v>
      </c>
      <c r="F267" s="4">
        <f t="shared" si="21"/>
        <v>0</v>
      </c>
      <c r="G267" s="4">
        <f t="shared" si="22"/>
        <v>0</v>
      </c>
      <c r="H267" s="6">
        <f t="shared" si="23"/>
        <v>-3532393467.3097553</v>
      </c>
    </row>
    <row r="268" spans="2:8" x14ac:dyDescent="0.3">
      <c r="B268">
        <v>258</v>
      </c>
      <c r="C268" s="4">
        <f t="shared" ref="C268:C331" si="24">H267*$C$5</f>
        <v>-35323934.673097551</v>
      </c>
      <c r="D268" s="4">
        <f t="shared" ref="D268:D331" si="25">IF(B268&lt;=$C$6,0,$C$7)</f>
        <v>5857899.4043183839</v>
      </c>
      <c r="E268" s="4">
        <f t="shared" ref="E268:E331" si="26">D268-C268+F268+G268</f>
        <v>46181834.077415936</v>
      </c>
      <c r="F268" s="4">
        <f t="shared" ref="F268:F331" si="27">IF(MOD(B268,$F$3)=0,$F$2,0)</f>
        <v>5000000</v>
      </c>
      <c r="G268" s="4">
        <f t="shared" ref="G268:G331" si="28">IF(B268=$C$3,$F$4*$C$2,0)</f>
        <v>0</v>
      </c>
      <c r="H268" s="6">
        <f t="shared" ref="H268:H331" si="29">H267-E268</f>
        <v>-3578575301.3871713</v>
      </c>
    </row>
    <row r="269" spans="2:8" x14ac:dyDescent="0.3">
      <c r="B269">
        <v>259</v>
      </c>
      <c r="C269" s="4">
        <f t="shared" si="24"/>
        <v>-35785753.013871714</v>
      </c>
      <c r="D269" s="4">
        <f t="shared" si="25"/>
        <v>5857899.4043183839</v>
      </c>
      <c r="E269" s="4">
        <f t="shared" si="26"/>
        <v>41643652.418190099</v>
      </c>
      <c r="F269" s="4">
        <f t="shared" si="27"/>
        <v>0</v>
      </c>
      <c r="G269" s="4">
        <f t="shared" si="28"/>
        <v>0</v>
      </c>
      <c r="H269" s="6">
        <f t="shared" si="29"/>
        <v>-3620218953.8053613</v>
      </c>
    </row>
    <row r="270" spans="2:8" x14ac:dyDescent="0.3">
      <c r="B270">
        <v>260</v>
      </c>
      <c r="C270" s="4">
        <f t="shared" si="24"/>
        <v>-36202189.538053617</v>
      </c>
      <c r="D270" s="4">
        <f t="shared" si="25"/>
        <v>5857899.4043183839</v>
      </c>
      <c r="E270" s="4">
        <f t="shared" si="26"/>
        <v>42060088.942372002</v>
      </c>
      <c r="F270" s="4">
        <f t="shared" si="27"/>
        <v>0</v>
      </c>
      <c r="G270" s="4">
        <f t="shared" si="28"/>
        <v>0</v>
      </c>
      <c r="H270" s="6">
        <f t="shared" si="29"/>
        <v>-3662279042.7477331</v>
      </c>
    </row>
    <row r="271" spans="2:8" x14ac:dyDescent="0.3">
      <c r="B271">
        <v>261</v>
      </c>
      <c r="C271" s="4">
        <f t="shared" si="24"/>
        <v>-36622790.42747733</v>
      </c>
      <c r="D271" s="4">
        <f t="shared" si="25"/>
        <v>5857899.4043183839</v>
      </c>
      <c r="E271" s="4">
        <f t="shared" si="26"/>
        <v>42480689.831795715</v>
      </c>
      <c r="F271" s="4">
        <f t="shared" si="27"/>
        <v>0</v>
      </c>
      <c r="G271" s="4">
        <f t="shared" si="28"/>
        <v>0</v>
      </c>
      <c r="H271" s="6">
        <f t="shared" si="29"/>
        <v>-3704759732.5795288</v>
      </c>
    </row>
    <row r="272" spans="2:8" x14ac:dyDescent="0.3">
      <c r="B272">
        <v>262</v>
      </c>
      <c r="C272" s="4">
        <f t="shared" si="24"/>
        <v>-37047597.325795285</v>
      </c>
      <c r="D272" s="4">
        <f t="shared" si="25"/>
        <v>5857899.4043183839</v>
      </c>
      <c r="E272" s="4">
        <f t="shared" si="26"/>
        <v>42905496.73011367</v>
      </c>
      <c r="F272" s="4">
        <f t="shared" si="27"/>
        <v>0</v>
      </c>
      <c r="G272" s="4">
        <f t="shared" si="28"/>
        <v>0</v>
      </c>
      <c r="H272" s="6">
        <f t="shared" si="29"/>
        <v>-3747665229.3096423</v>
      </c>
    </row>
    <row r="273" spans="2:8" x14ac:dyDescent="0.3">
      <c r="B273">
        <v>263</v>
      </c>
      <c r="C273" s="4">
        <f t="shared" si="24"/>
        <v>-37476652.293096423</v>
      </c>
      <c r="D273" s="4">
        <f t="shared" si="25"/>
        <v>5857899.4043183839</v>
      </c>
      <c r="E273" s="4">
        <f t="shared" si="26"/>
        <v>43334551.697414808</v>
      </c>
      <c r="F273" s="4">
        <f t="shared" si="27"/>
        <v>0</v>
      </c>
      <c r="G273" s="4">
        <f t="shared" si="28"/>
        <v>0</v>
      </c>
      <c r="H273" s="6">
        <f t="shared" si="29"/>
        <v>-3790999781.0070572</v>
      </c>
    </row>
    <row r="274" spans="2:8" x14ac:dyDescent="0.3">
      <c r="B274">
        <v>264</v>
      </c>
      <c r="C274" s="4">
        <f t="shared" si="24"/>
        <v>-37909997.810070574</v>
      </c>
      <c r="D274" s="4">
        <f t="shared" si="25"/>
        <v>5857899.4043183839</v>
      </c>
      <c r="E274" s="4">
        <f t="shared" si="26"/>
        <v>48767897.214388959</v>
      </c>
      <c r="F274" s="4">
        <f t="shared" si="27"/>
        <v>5000000</v>
      </c>
      <c r="G274" s="4">
        <f t="shared" si="28"/>
        <v>0</v>
      </c>
      <c r="H274" s="6">
        <f t="shared" si="29"/>
        <v>-3839767678.221446</v>
      </c>
    </row>
    <row r="275" spans="2:8" x14ac:dyDescent="0.3">
      <c r="B275">
        <v>265</v>
      </c>
      <c r="C275" s="4">
        <f t="shared" si="24"/>
        <v>-38397676.782214463</v>
      </c>
      <c r="D275" s="4">
        <f t="shared" si="25"/>
        <v>5857899.4043183839</v>
      </c>
      <c r="E275" s="4">
        <f t="shared" si="26"/>
        <v>44255576.186532848</v>
      </c>
      <c r="F275" s="4">
        <f t="shared" si="27"/>
        <v>0</v>
      </c>
      <c r="G275" s="4">
        <f t="shared" si="28"/>
        <v>0</v>
      </c>
      <c r="H275" s="6">
        <f t="shared" si="29"/>
        <v>-3884023254.407979</v>
      </c>
    </row>
    <row r="276" spans="2:8" x14ac:dyDescent="0.3">
      <c r="B276">
        <v>266</v>
      </c>
      <c r="C276" s="4">
        <f t="shared" si="24"/>
        <v>-38840232.544079788</v>
      </c>
      <c r="D276" s="4">
        <f t="shared" si="25"/>
        <v>5857899.4043183839</v>
      </c>
      <c r="E276" s="4">
        <f t="shared" si="26"/>
        <v>44698131.948398173</v>
      </c>
      <c r="F276" s="4">
        <f t="shared" si="27"/>
        <v>0</v>
      </c>
      <c r="G276" s="4">
        <f t="shared" si="28"/>
        <v>0</v>
      </c>
      <c r="H276" s="6">
        <f t="shared" si="29"/>
        <v>-3928721386.3563771</v>
      </c>
    </row>
    <row r="277" spans="2:8" x14ac:dyDescent="0.3">
      <c r="B277">
        <v>267</v>
      </c>
      <c r="C277" s="4">
        <f t="shared" si="24"/>
        <v>-39287213.863563769</v>
      </c>
      <c r="D277" s="4">
        <f t="shared" si="25"/>
        <v>5857899.4043183839</v>
      </c>
      <c r="E277" s="4">
        <f t="shared" si="26"/>
        <v>45145113.267882153</v>
      </c>
      <c r="F277" s="4">
        <f t="shared" si="27"/>
        <v>0</v>
      </c>
      <c r="G277" s="4">
        <f t="shared" si="28"/>
        <v>0</v>
      </c>
      <c r="H277" s="6">
        <f t="shared" si="29"/>
        <v>-3973866499.6242595</v>
      </c>
    </row>
    <row r="278" spans="2:8" x14ac:dyDescent="0.3">
      <c r="B278">
        <v>268</v>
      </c>
      <c r="C278" s="4">
        <f t="shared" si="24"/>
        <v>-39738664.996242598</v>
      </c>
      <c r="D278" s="4">
        <f t="shared" si="25"/>
        <v>5857899.4043183839</v>
      </c>
      <c r="E278" s="4">
        <f t="shared" si="26"/>
        <v>45596564.400560983</v>
      </c>
      <c r="F278" s="4">
        <f t="shared" si="27"/>
        <v>0</v>
      </c>
      <c r="G278" s="4">
        <f t="shared" si="28"/>
        <v>0</v>
      </c>
      <c r="H278" s="6">
        <f t="shared" si="29"/>
        <v>-4019463064.0248203</v>
      </c>
    </row>
    <row r="279" spans="2:8" x14ac:dyDescent="0.3">
      <c r="B279">
        <v>269</v>
      </c>
      <c r="C279" s="4">
        <f t="shared" si="24"/>
        <v>-40194630.640248202</v>
      </c>
      <c r="D279" s="4">
        <f t="shared" si="25"/>
        <v>5857899.4043183839</v>
      </c>
      <c r="E279" s="4">
        <f t="shared" si="26"/>
        <v>46052530.044566587</v>
      </c>
      <c r="F279" s="4">
        <f t="shared" si="27"/>
        <v>0</v>
      </c>
      <c r="G279" s="4">
        <f t="shared" si="28"/>
        <v>0</v>
      </c>
      <c r="H279" s="6">
        <f t="shared" si="29"/>
        <v>-4065515594.069387</v>
      </c>
    </row>
    <row r="280" spans="2:8" x14ac:dyDescent="0.3">
      <c r="B280">
        <v>270</v>
      </c>
      <c r="C280" s="4">
        <f t="shared" si="24"/>
        <v>-40655155.94069387</v>
      </c>
      <c r="D280" s="4">
        <f t="shared" si="25"/>
        <v>5857899.4043183839</v>
      </c>
      <c r="E280" s="4">
        <f t="shared" si="26"/>
        <v>51513055.345012255</v>
      </c>
      <c r="F280" s="4">
        <f t="shared" si="27"/>
        <v>5000000</v>
      </c>
      <c r="G280" s="4">
        <f t="shared" si="28"/>
        <v>0</v>
      </c>
      <c r="H280" s="6">
        <f t="shared" si="29"/>
        <v>-4117028649.4143991</v>
      </c>
    </row>
    <row r="281" spans="2:8" x14ac:dyDescent="0.3">
      <c r="B281">
        <v>271</v>
      </c>
      <c r="C281" s="4">
        <f t="shared" si="24"/>
        <v>-41170286.494143993</v>
      </c>
      <c r="D281" s="4">
        <f t="shared" si="25"/>
        <v>5857899.4043183839</v>
      </c>
      <c r="E281" s="4">
        <f t="shared" si="26"/>
        <v>47028185.898462377</v>
      </c>
      <c r="F281" s="4">
        <f t="shared" si="27"/>
        <v>0</v>
      </c>
      <c r="G281" s="4">
        <f t="shared" si="28"/>
        <v>0</v>
      </c>
      <c r="H281" s="6">
        <f t="shared" si="29"/>
        <v>-4164056835.3128614</v>
      </c>
    </row>
    <row r="282" spans="2:8" x14ac:dyDescent="0.3">
      <c r="B282">
        <v>272</v>
      </c>
      <c r="C282" s="4">
        <f t="shared" si="24"/>
        <v>-41640568.353128612</v>
      </c>
      <c r="D282" s="4">
        <f t="shared" si="25"/>
        <v>5857899.4043183839</v>
      </c>
      <c r="E282" s="4">
        <f t="shared" si="26"/>
        <v>47498467.757446997</v>
      </c>
      <c r="F282" s="4">
        <f t="shared" si="27"/>
        <v>0</v>
      </c>
      <c r="G282" s="4">
        <f t="shared" si="28"/>
        <v>0</v>
      </c>
      <c r="H282" s="6">
        <f t="shared" si="29"/>
        <v>-4211555303.0703082</v>
      </c>
    </row>
    <row r="283" spans="2:8" x14ac:dyDescent="0.3">
      <c r="B283">
        <v>273</v>
      </c>
      <c r="C283" s="4">
        <f t="shared" si="24"/>
        <v>-42115553.030703083</v>
      </c>
      <c r="D283" s="4">
        <f t="shared" si="25"/>
        <v>5857899.4043183839</v>
      </c>
      <c r="E283" s="4">
        <f t="shared" si="26"/>
        <v>47973452.435021468</v>
      </c>
      <c r="F283" s="4">
        <f t="shared" si="27"/>
        <v>0</v>
      </c>
      <c r="G283" s="4">
        <f t="shared" si="28"/>
        <v>0</v>
      </c>
      <c r="H283" s="6">
        <f t="shared" si="29"/>
        <v>-4259528755.5053296</v>
      </c>
    </row>
    <row r="284" spans="2:8" x14ac:dyDescent="0.3">
      <c r="B284">
        <v>274</v>
      </c>
      <c r="C284" s="4">
        <f t="shared" si="24"/>
        <v>-42595287.555053294</v>
      </c>
      <c r="D284" s="4">
        <f t="shared" si="25"/>
        <v>5857899.4043183839</v>
      </c>
      <c r="E284" s="4">
        <f t="shared" si="26"/>
        <v>48453186.959371679</v>
      </c>
      <c r="F284" s="4">
        <f t="shared" si="27"/>
        <v>0</v>
      </c>
      <c r="G284" s="4">
        <f t="shared" si="28"/>
        <v>0</v>
      </c>
      <c r="H284" s="6">
        <f t="shared" si="29"/>
        <v>-4307981942.4647017</v>
      </c>
    </row>
    <row r="285" spans="2:8" x14ac:dyDescent="0.3">
      <c r="B285">
        <v>275</v>
      </c>
      <c r="C285" s="4">
        <f t="shared" si="24"/>
        <v>-43079819.424647018</v>
      </c>
      <c r="D285" s="4">
        <f t="shared" si="25"/>
        <v>5857899.4043183839</v>
      </c>
      <c r="E285" s="4">
        <f t="shared" si="26"/>
        <v>48937718.828965403</v>
      </c>
      <c r="F285" s="4">
        <f t="shared" si="27"/>
        <v>0</v>
      </c>
      <c r="G285" s="4">
        <f t="shared" si="28"/>
        <v>0</v>
      </c>
      <c r="H285" s="6">
        <f t="shared" si="29"/>
        <v>-4356919661.2936668</v>
      </c>
    </row>
    <row r="286" spans="2:8" x14ac:dyDescent="0.3">
      <c r="B286">
        <v>276</v>
      </c>
      <c r="C286" s="4">
        <f t="shared" si="24"/>
        <v>-43569196.612936668</v>
      </c>
      <c r="D286" s="4">
        <f t="shared" si="25"/>
        <v>5857899.4043183839</v>
      </c>
      <c r="E286" s="4">
        <f t="shared" si="26"/>
        <v>54427096.017255053</v>
      </c>
      <c r="F286" s="4">
        <f t="shared" si="27"/>
        <v>5000000</v>
      </c>
      <c r="G286" s="4">
        <f t="shared" si="28"/>
        <v>0</v>
      </c>
      <c r="H286" s="6">
        <f t="shared" si="29"/>
        <v>-4411346757.3109217</v>
      </c>
    </row>
    <row r="287" spans="2:8" x14ac:dyDescent="0.3">
      <c r="B287">
        <v>277</v>
      </c>
      <c r="C287" s="4">
        <f t="shared" si="24"/>
        <v>-44113467.573109217</v>
      </c>
      <c r="D287" s="4">
        <f t="shared" si="25"/>
        <v>5857899.4043183839</v>
      </c>
      <c r="E287" s="4">
        <f t="shared" si="26"/>
        <v>49971366.977427602</v>
      </c>
      <c r="F287" s="4">
        <f t="shared" si="27"/>
        <v>0</v>
      </c>
      <c r="G287" s="4">
        <f t="shared" si="28"/>
        <v>0</v>
      </c>
      <c r="H287" s="6">
        <f t="shared" si="29"/>
        <v>-4461318124.2883492</v>
      </c>
    </row>
    <row r="288" spans="2:8" x14ac:dyDescent="0.3">
      <c r="B288">
        <v>278</v>
      </c>
      <c r="C288" s="4">
        <f t="shared" si="24"/>
        <v>-44613181.242883496</v>
      </c>
      <c r="D288" s="4">
        <f t="shared" si="25"/>
        <v>5857899.4043183839</v>
      </c>
      <c r="E288" s="4">
        <f t="shared" si="26"/>
        <v>50471080.647201881</v>
      </c>
      <c r="F288" s="4">
        <f t="shared" si="27"/>
        <v>0</v>
      </c>
      <c r="G288" s="4">
        <f t="shared" si="28"/>
        <v>0</v>
      </c>
      <c r="H288" s="6">
        <f t="shared" si="29"/>
        <v>-4511789204.9355507</v>
      </c>
    </row>
    <row r="289" spans="2:8" x14ac:dyDescent="0.3">
      <c r="B289">
        <v>279</v>
      </c>
      <c r="C289" s="4">
        <f t="shared" si="24"/>
        <v>-45117892.049355507</v>
      </c>
      <c r="D289" s="4">
        <f t="shared" si="25"/>
        <v>5857899.4043183839</v>
      </c>
      <c r="E289" s="4">
        <f t="shared" si="26"/>
        <v>50975791.453673892</v>
      </c>
      <c r="F289" s="4">
        <f t="shared" si="27"/>
        <v>0</v>
      </c>
      <c r="G289" s="4">
        <f t="shared" si="28"/>
        <v>0</v>
      </c>
      <c r="H289" s="6">
        <f t="shared" si="29"/>
        <v>-4562764996.389225</v>
      </c>
    </row>
    <row r="290" spans="2:8" x14ac:dyDescent="0.3">
      <c r="B290">
        <v>280</v>
      </c>
      <c r="C290" s="4">
        <f t="shared" si="24"/>
        <v>-45627649.963892251</v>
      </c>
      <c r="D290" s="4">
        <f t="shared" si="25"/>
        <v>5857899.4043183839</v>
      </c>
      <c r="E290" s="4">
        <f t="shared" si="26"/>
        <v>51485549.368210636</v>
      </c>
      <c r="F290" s="4">
        <f t="shared" si="27"/>
        <v>0</v>
      </c>
      <c r="G290" s="4">
        <f t="shared" si="28"/>
        <v>0</v>
      </c>
      <c r="H290" s="6">
        <f t="shared" si="29"/>
        <v>-4614250545.7574358</v>
      </c>
    </row>
    <row r="291" spans="2:8" x14ac:dyDescent="0.3">
      <c r="B291">
        <v>281</v>
      </c>
      <c r="C291" s="4">
        <f t="shared" si="24"/>
        <v>-46142505.45757436</v>
      </c>
      <c r="D291" s="4">
        <f t="shared" si="25"/>
        <v>5857899.4043183839</v>
      </c>
      <c r="E291" s="4">
        <f t="shared" si="26"/>
        <v>52000404.861892745</v>
      </c>
      <c r="F291" s="4">
        <f t="shared" si="27"/>
        <v>0</v>
      </c>
      <c r="G291" s="4">
        <f t="shared" si="28"/>
        <v>0</v>
      </c>
      <c r="H291" s="6">
        <f t="shared" si="29"/>
        <v>-4666250950.6193285</v>
      </c>
    </row>
    <row r="292" spans="2:8" x14ac:dyDescent="0.3">
      <c r="B292">
        <v>282</v>
      </c>
      <c r="C292" s="4">
        <f t="shared" si="24"/>
        <v>-46662509.506193288</v>
      </c>
      <c r="D292" s="4">
        <f t="shared" si="25"/>
        <v>5857899.4043183839</v>
      </c>
      <c r="E292" s="4">
        <f t="shared" si="26"/>
        <v>57520408.910511672</v>
      </c>
      <c r="F292" s="4">
        <f t="shared" si="27"/>
        <v>5000000</v>
      </c>
      <c r="G292" s="4">
        <f t="shared" si="28"/>
        <v>0</v>
      </c>
      <c r="H292" s="6">
        <f t="shared" si="29"/>
        <v>-4723771359.5298405</v>
      </c>
    </row>
    <row r="293" spans="2:8" x14ac:dyDescent="0.3">
      <c r="B293">
        <v>283</v>
      </c>
      <c r="C293" s="4">
        <f t="shared" si="24"/>
        <v>-47237713.595298402</v>
      </c>
      <c r="D293" s="4">
        <f t="shared" si="25"/>
        <v>5857899.4043183839</v>
      </c>
      <c r="E293" s="4">
        <f t="shared" si="26"/>
        <v>53095612.999616787</v>
      </c>
      <c r="F293" s="4">
        <f t="shared" si="27"/>
        <v>0</v>
      </c>
      <c r="G293" s="4">
        <f t="shared" si="28"/>
        <v>0</v>
      </c>
      <c r="H293" s="6">
        <f t="shared" si="29"/>
        <v>-4776866972.5294571</v>
      </c>
    </row>
    <row r="294" spans="2:8" x14ac:dyDescent="0.3">
      <c r="B294">
        <v>284</v>
      </c>
      <c r="C294" s="4">
        <f t="shared" si="24"/>
        <v>-47768669.725294575</v>
      </c>
      <c r="D294" s="4">
        <f t="shared" si="25"/>
        <v>5857899.4043183839</v>
      </c>
      <c r="E294" s="4">
        <f t="shared" si="26"/>
        <v>53626569.12961296</v>
      </c>
      <c r="F294" s="4">
        <f t="shared" si="27"/>
        <v>0</v>
      </c>
      <c r="G294" s="4">
        <f t="shared" si="28"/>
        <v>0</v>
      </c>
      <c r="H294" s="6">
        <f t="shared" si="29"/>
        <v>-4830493541.65907</v>
      </c>
    </row>
    <row r="295" spans="2:8" x14ac:dyDescent="0.3">
      <c r="B295">
        <v>285</v>
      </c>
      <c r="C295" s="4">
        <f t="shared" si="24"/>
        <v>-48304935.416590698</v>
      </c>
      <c r="D295" s="4">
        <f t="shared" si="25"/>
        <v>5857899.4043183839</v>
      </c>
      <c r="E295" s="4">
        <f t="shared" si="26"/>
        <v>54162834.820909083</v>
      </c>
      <c r="F295" s="4">
        <f t="shared" si="27"/>
        <v>0</v>
      </c>
      <c r="G295" s="4">
        <f t="shared" si="28"/>
        <v>0</v>
      </c>
      <c r="H295" s="6">
        <f t="shared" si="29"/>
        <v>-4884656376.4799795</v>
      </c>
    </row>
    <row r="296" spans="2:8" x14ac:dyDescent="0.3">
      <c r="B296">
        <v>286</v>
      </c>
      <c r="C296" s="4">
        <f t="shared" si="24"/>
        <v>-48846563.764799796</v>
      </c>
      <c r="D296" s="4">
        <f t="shared" si="25"/>
        <v>5857899.4043183839</v>
      </c>
      <c r="E296" s="4">
        <f t="shared" si="26"/>
        <v>54704463.169118181</v>
      </c>
      <c r="F296" s="4">
        <f t="shared" si="27"/>
        <v>0</v>
      </c>
      <c r="G296" s="4">
        <f t="shared" si="28"/>
        <v>0</v>
      </c>
      <c r="H296" s="6">
        <f t="shared" si="29"/>
        <v>-4939360839.6490974</v>
      </c>
    </row>
    <row r="297" spans="2:8" x14ac:dyDescent="0.3">
      <c r="B297">
        <v>287</v>
      </c>
      <c r="C297" s="4">
        <f t="shared" si="24"/>
        <v>-49393608.396490976</v>
      </c>
      <c r="D297" s="4">
        <f t="shared" si="25"/>
        <v>5857899.4043183839</v>
      </c>
      <c r="E297" s="4">
        <f t="shared" si="26"/>
        <v>55251507.800809361</v>
      </c>
      <c r="F297" s="4">
        <f t="shared" si="27"/>
        <v>0</v>
      </c>
      <c r="G297" s="4">
        <f t="shared" si="28"/>
        <v>0</v>
      </c>
      <c r="H297" s="6">
        <f t="shared" si="29"/>
        <v>-4994612347.4499063</v>
      </c>
    </row>
    <row r="298" spans="2:8" x14ac:dyDescent="0.3">
      <c r="B298">
        <v>288</v>
      </c>
      <c r="C298" s="4">
        <f t="shared" si="24"/>
        <v>-49946123.474499062</v>
      </c>
      <c r="D298" s="4">
        <f t="shared" si="25"/>
        <v>5857899.4043183839</v>
      </c>
      <c r="E298" s="4">
        <f t="shared" si="26"/>
        <v>60804022.878817447</v>
      </c>
      <c r="F298" s="4">
        <f t="shared" si="27"/>
        <v>5000000</v>
      </c>
      <c r="G298" s="4">
        <f t="shared" si="28"/>
        <v>0</v>
      </c>
      <c r="H298" s="6">
        <f t="shared" si="29"/>
        <v>-5055416370.3287239</v>
      </c>
    </row>
    <row r="299" spans="2:8" x14ac:dyDescent="0.3">
      <c r="B299">
        <v>289</v>
      </c>
      <c r="C299" s="4">
        <f t="shared" si="24"/>
        <v>-50554163.703287244</v>
      </c>
      <c r="D299" s="4">
        <f t="shared" si="25"/>
        <v>5857899.4043183839</v>
      </c>
      <c r="E299" s="4">
        <f t="shared" si="26"/>
        <v>56412063.107605629</v>
      </c>
      <c r="F299" s="4">
        <f t="shared" si="27"/>
        <v>0</v>
      </c>
      <c r="G299" s="4">
        <f t="shared" si="28"/>
        <v>0</v>
      </c>
      <c r="H299" s="6">
        <f t="shared" si="29"/>
        <v>-5111828433.4363298</v>
      </c>
    </row>
    <row r="300" spans="2:8" x14ac:dyDescent="0.3">
      <c r="B300">
        <v>290</v>
      </c>
      <c r="C300" s="4">
        <f t="shared" si="24"/>
        <v>-51118284.334363297</v>
      </c>
      <c r="D300" s="4">
        <f t="shared" si="25"/>
        <v>5857899.4043183839</v>
      </c>
      <c r="E300" s="4">
        <f t="shared" si="26"/>
        <v>56976183.738681681</v>
      </c>
      <c r="F300" s="4">
        <f t="shared" si="27"/>
        <v>0</v>
      </c>
      <c r="G300" s="4">
        <f t="shared" si="28"/>
        <v>0</v>
      </c>
      <c r="H300" s="6">
        <f t="shared" si="29"/>
        <v>-5168804617.1750116</v>
      </c>
    </row>
    <row r="301" spans="2:8" x14ac:dyDescent="0.3">
      <c r="B301">
        <v>291</v>
      </c>
      <c r="C301" s="4">
        <f t="shared" si="24"/>
        <v>-51688046.171750121</v>
      </c>
      <c r="D301" s="4">
        <f t="shared" si="25"/>
        <v>5857899.4043183839</v>
      </c>
      <c r="E301" s="4">
        <f t="shared" si="26"/>
        <v>57545945.576068506</v>
      </c>
      <c r="F301" s="4">
        <f t="shared" si="27"/>
        <v>0</v>
      </c>
      <c r="G301" s="4">
        <f t="shared" si="28"/>
        <v>0</v>
      </c>
      <c r="H301" s="6">
        <f t="shared" si="29"/>
        <v>-5226350562.7510805</v>
      </c>
    </row>
    <row r="302" spans="2:8" x14ac:dyDescent="0.3">
      <c r="B302">
        <v>292</v>
      </c>
      <c r="C302" s="4">
        <f t="shared" si="24"/>
        <v>-52263505.627510808</v>
      </c>
      <c r="D302" s="4">
        <f t="shared" si="25"/>
        <v>5857899.4043183839</v>
      </c>
      <c r="E302" s="4">
        <f t="shared" si="26"/>
        <v>58121405.031829193</v>
      </c>
      <c r="F302" s="4">
        <f t="shared" si="27"/>
        <v>0</v>
      </c>
      <c r="G302" s="4">
        <f t="shared" si="28"/>
        <v>0</v>
      </c>
      <c r="H302" s="6">
        <f t="shared" si="29"/>
        <v>-5284471967.7829094</v>
      </c>
    </row>
    <row r="303" spans="2:8" x14ac:dyDescent="0.3">
      <c r="B303">
        <v>293</v>
      </c>
      <c r="C303" s="4">
        <f t="shared" si="24"/>
        <v>-52844719.677829094</v>
      </c>
      <c r="D303" s="4">
        <f t="shared" si="25"/>
        <v>5857899.4043183839</v>
      </c>
      <c r="E303" s="4">
        <f t="shared" si="26"/>
        <v>58702619.082147479</v>
      </c>
      <c r="F303" s="4">
        <f t="shared" si="27"/>
        <v>0</v>
      </c>
      <c r="G303" s="4">
        <f t="shared" si="28"/>
        <v>0</v>
      </c>
      <c r="H303" s="6">
        <f t="shared" si="29"/>
        <v>-5343174586.865057</v>
      </c>
    </row>
    <row r="304" spans="2:8" x14ac:dyDescent="0.3">
      <c r="B304">
        <v>294</v>
      </c>
      <c r="C304" s="4">
        <f t="shared" si="24"/>
        <v>-53431745.868650571</v>
      </c>
      <c r="D304" s="4">
        <f t="shared" si="25"/>
        <v>5857899.4043183839</v>
      </c>
      <c r="E304" s="4">
        <f t="shared" si="26"/>
        <v>64289645.272968955</v>
      </c>
      <c r="F304" s="4">
        <f t="shared" si="27"/>
        <v>5000000</v>
      </c>
      <c r="G304" s="4">
        <f t="shared" si="28"/>
        <v>0</v>
      </c>
      <c r="H304" s="6">
        <f t="shared" si="29"/>
        <v>-5407464232.1380262</v>
      </c>
    </row>
    <row r="305" spans="2:8" x14ac:dyDescent="0.3">
      <c r="B305">
        <v>295</v>
      </c>
      <c r="C305" s="4">
        <f t="shared" si="24"/>
        <v>-54074642.321380265</v>
      </c>
      <c r="D305" s="4">
        <f t="shared" si="25"/>
        <v>5857899.4043183839</v>
      </c>
      <c r="E305" s="4">
        <f t="shared" si="26"/>
        <v>59932541.72569865</v>
      </c>
      <c r="F305" s="4">
        <f t="shared" si="27"/>
        <v>0</v>
      </c>
      <c r="G305" s="4">
        <f t="shared" si="28"/>
        <v>0</v>
      </c>
      <c r="H305" s="6">
        <f t="shared" si="29"/>
        <v>-5467396773.8637247</v>
      </c>
    </row>
    <row r="306" spans="2:8" x14ac:dyDescent="0.3">
      <c r="B306">
        <v>296</v>
      </c>
      <c r="C306" s="4">
        <f t="shared" si="24"/>
        <v>-54673967.738637246</v>
      </c>
      <c r="D306" s="4">
        <f t="shared" si="25"/>
        <v>5857899.4043183839</v>
      </c>
      <c r="E306" s="4">
        <f t="shared" si="26"/>
        <v>60531867.142955631</v>
      </c>
      <c r="F306" s="4">
        <f t="shared" si="27"/>
        <v>0</v>
      </c>
      <c r="G306" s="4">
        <f t="shared" si="28"/>
        <v>0</v>
      </c>
      <c r="H306" s="6">
        <f t="shared" si="29"/>
        <v>-5527928641.0066805</v>
      </c>
    </row>
    <row r="307" spans="2:8" x14ac:dyDescent="0.3">
      <c r="B307">
        <v>297</v>
      </c>
      <c r="C307" s="4">
        <f t="shared" si="24"/>
        <v>-55279286.410066806</v>
      </c>
      <c r="D307" s="4">
        <f t="shared" si="25"/>
        <v>5857899.4043183839</v>
      </c>
      <c r="E307" s="4">
        <f t="shared" si="26"/>
        <v>61137185.814385191</v>
      </c>
      <c r="F307" s="4">
        <f t="shared" si="27"/>
        <v>0</v>
      </c>
      <c r="G307" s="4">
        <f t="shared" si="28"/>
        <v>0</v>
      </c>
      <c r="H307" s="6">
        <f t="shared" si="29"/>
        <v>-5589065826.8210659</v>
      </c>
    </row>
    <row r="308" spans="2:8" x14ac:dyDescent="0.3">
      <c r="B308">
        <v>298</v>
      </c>
      <c r="C308" s="4">
        <f t="shared" si="24"/>
        <v>-55890658.268210657</v>
      </c>
      <c r="D308" s="4">
        <f t="shared" si="25"/>
        <v>5857899.4043183839</v>
      </c>
      <c r="E308" s="4">
        <f t="shared" si="26"/>
        <v>61748557.672529042</v>
      </c>
      <c r="F308" s="4">
        <f t="shared" si="27"/>
        <v>0</v>
      </c>
      <c r="G308" s="4">
        <f t="shared" si="28"/>
        <v>0</v>
      </c>
      <c r="H308" s="6">
        <f t="shared" si="29"/>
        <v>-5650814384.4935951</v>
      </c>
    </row>
    <row r="309" spans="2:8" x14ac:dyDescent="0.3">
      <c r="B309">
        <v>299</v>
      </c>
      <c r="C309" s="4">
        <f t="shared" si="24"/>
        <v>-56508143.844935954</v>
      </c>
      <c r="D309" s="4">
        <f t="shared" si="25"/>
        <v>5857899.4043183839</v>
      </c>
      <c r="E309" s="4">
        <f t="shared" si="26"/>
        <v>62366043.249254338</v>
      </c>
      <c r="F309" s="4">
        <f t="shared" si="27"/>
        <v>0</v>
      </c>
      <c r="G309" s="4">
        <f t="shared" si="28"/>
        <v>0</v>
      </c>
      <c r="H309" s="6">
        <f t="shared" si="29"/>
        <v>-5713180427.7428493</v>
      </c>
    </row>
    <row r="310" spans="2:8" x14ac:dyDescent="0.3">
      <c r="B310">
        <v>300</v>
      </c>
      <c r="C310" s="4">
        <f t="shared" si="24"/>
        <v>-57131804.277428493</v>
      </c>
      <c r="D310" s="4">
        <f t="shared" si="25"/>
        <v>5857899.4043183839</v>
      </c>
      <c r="E310" s="4">
        <f t="shared" si="26"/>
        <v>67989703.68174687</v>
      </c>
      <c r="F310" s="4">
        <f t="shared" si="27"/>
        <v>5000000</v>
      </c>
      <c r="G310" s="4">
        <f t="shared" si="28"/>
        <v>0</v>
      </c>
      <c r="H310" s="6">
        <f t="shared" si="29"/>
        <v>-5781170131.4245958</v>
      </c>
    </row>
    <row r="311" spans="2:8" x14ac:dyDescent="0.3">
      <c r="B311">
        <v>301</v>
      </c>
      <c r="C311" s="4">
        <f t="shared" si="24"/>
        <v>-57811701.314245962</v>
      </c>
      <c r="D311" s="4">
        <f t="shared" si="25"/>
        <v>5857899.4043183839</v>
      </c>
      <c r="E311" s="4">
        <f t="shared" si="26"/>
        <v>63669600.718564346</v>
      </c>
      <c r="F311" s="4">
        <f t="shared" si="27"/>
        <v>0</v>
      </c>
      <c r="G311" s="4">
        <f t="shared" si="28"/>
        <v>0</v>
      </c>
      <c r="H311" s="6">
        <f t="shared" si="29"/>
        <v>-5844839732.1431599</v>
      </c>
    </row>
    <row r="312" spans="2:8" x14ac:dyDescent="0.3">
      <c r="B312">
        <v>302</v>
      </c>
      <c r="C312" s="4">
        <f t="shared" si="24"/>
        <v>-58448397.3214316</v>
      </c>
      <c r="D312" s="4">
        <f t="shared" si="25"/>
        <v>5857899.4043183839</v>
      </c>
      <c r="E312" s="4">
        <f t="shared" si="26"/>
        <v>64306296.725749984</v>
      </c>
      <c r="F312" s="4">
        <f t="shared" si="27"/>
        <v>0</v>
      </c>
      <c r="G312" s="4">
        <f t="shared" si="28"/>
        <v>0</v>
      </c>
      <c r="H312" s="6">
        <f t="shared" si="29"/>
        <v>-5909146028.8689098</v>
      </c>
    </row>
    <row r="313" spans="2:8" x14ac:dyDescent="0.3">
      <c r="B313">
        <v>303</v>
      </c>
      <c r="C313" s="4">
        <f t="shared" si="24"/>
        <v>-59091460.288689099</v>
      </c>
      <c r="D313" s="4">
        <f t="shared" si="25"/>
        <v>5857899.4043183839</v>
      </c>
      <c r="E313" s="4">
        <f t="shared" si="26"/>
        <v>64949359.693007484</v>
      </c>
      <c r="F313" s="4">
        <f t="shared" si="27"/>
        <v>0</v>
      </c>
      <c r="G313" s="4">
        <f t="shared" si="28"/>
        <v>0</v>
      </c>
      <c r="H313" s="6">
        <f t="shared" si="29"/>
        <v>-5974095388.5619173</v>
      </c>
    </row>
    <row r="314" spans="2:8" x14ac:dyDescent="0.3">
      <c r="B314">
        <v>304</v>
      </c>
      <c r="C314" s="4">
        <f t="shared" si="24"/>
        <v>-59740953.885619171</v>
      </c>
      <c r="D314" s="4">
        <f t="shared" si="25"/>
        <v>5857899.4043183839</v>
      </c>
      <c r="E314" s="4">
        <f t="shared" si="26"/>
        <v>65598853.289937556</v>
      </c>
      <c r="F314" s="4">
        <f t="shared" si="27"/>
        <v>0</v>
      </c>
      <c r="G314" s="4">
        <f t="shared" si="28"/>
        <v>0</v>
      </c>
      <c r="H314" s="6">
        <f t="shared" si="29"/>
        <v>-6039694241.8518553</v>
      </c>
    </row>
    <row r="315" spans="2:8" x14ac:dyDescent="0.3">
      <c r="B315">
        <v>305</v>
      </c>
      <c r="C315" s="4">
        <f t="shared" si="24"/>
        <v>-60396942.418518551</v>
      </c>
      <c r="D315" s="4">
        <f t="shared" si="25"/>
        <v>5857899.4043183839</v>
      </c>
      <c r="E315" s="4">
        <f t="shared" si="26"/>
        <v>66254841.822836936</v>
      </c>
      <c r="F315" s="4">
        <f t="shared" si="27"/>
        <v>0</v>
      </c>
      <c r="G315" s="4">
        <f t="shared" si="28"/>
        <v>0</v>
      </c>
      <c r="H315" s="6">
        <f t="shared" si="29"/>
        <v>-6105949083.6746922</v>
      </c>
    </row>
    <row r="316" spans="2:8" x14ac:dyDescent="0.3">
      <c r="B316">
        <v>306</v>
      </c>
      <c r="C316" s="4">
        <f t="shared" si="24"/>
        <v>-61059490.836746924</v>
      </c>
      <c r="D316" s="4">
        <f t="shared" si="25"/>
        <v>5857899.4043183839</v>
      </c>
      <c r="E316" s="4">
        <f t="shared" si="26"/>
        <v>71917390.241065308</v>
      </c>
      <c r="F316" s="4">
        <f t="shared" si="27"/>
        <v>5000000</v>
      </c>
      <c r="G316" s="4">
        <f t="shared" si="28"/>
        <v>0</v>
      </c>
      <c r="H316" s="6">
        <f t="shared" si="29"/>
        <v>-6177866473.9157572</v>
      </c>
    </row>
    <row r="317" spans="2:8" x14ac:dyDescent="0.3">
      <c r="B317">
        <v>307</v>
      </c>
      <c r="C317" s="4">
        <f t="shared" si="24"/>
        <v>-61778664.739157572</v>
      </c>
      <c r="D317" s="4">
        <f t="shared" si="25"/>
        <v>5857899.4043183839</v>
      </c>
      <c r="E317" s="4">
        <f t="shared" si="26"/>
        <v>67636564.14347595</v>
      </c>
      <c r="F317" s="4">
        <f t="shared" si="27"/>
        <v>0</v>
      </c>
      <c r="G317" s="4">
        <f t="shared" si="28"/>
        <v>0</v>
      </c>
      <c r="H317" s="6">
        <f t="shared" si="29"/>
        <v>-6245503038.0592327</v>
      </c>
    </row>
    <row r="318" spans="2:8" x14ac:dyDescent="0.3">
      <c r="B318">
        <v>308</v>
      </c>
      <c r="C318" s="4">
        <f t="shared" si="24"/>
        <v>-62455030.380592331</v>
      </c>
      <c r="D318" s="4">
        <f t="shared" si="25"/>
        <v>5857899.4043183839</v>
      </c>
      <c r="E318" s="4">
        <f t="shared" si="26"/>
        <v>68312929.784910709</v>
      </c>
      <c r="F318" s="4">
        <f t="shared" si="27"/>
        <v>0</v>
      </c>
      <c r="G318" s="4">
        <f t="shared" si="28"/>
        <v>0</v>
      </c>
      <c r="H318" s="6">
        <f t="shared" si="29"/>
        <v>-6313815967.8441439</v>
      </c>
    </row>
    <row r="319" spans="2:8" x14ac:dyDescent="0.3">
      <c r="B319">
        <v>309</v>
      </c>
      <c r="C319" s="4">
        <f t="shared" si="24"/>
        <v>-63138159.678441443</v>
      </c>
      <c r="D319" s="4">
        <f t="shared" si="25"/>
        <v>5857899.4043183839</v>
      </c>
      <c r="E319" s="4">
        <f t="shared" si="26"/>
        <v>68996059.082759827</v>
      </c>
      <c r="F319" s="4">
        <f t="shared" si="27"/>
        <v>0</v>
      </c>
      <c r="G319" s="4">
        <f t="shared" si="28"/>
        <v>0</v>
      </c>
      <c r="H319" s="6">
        <f t="shared" si="29"/>
        <v>-6382812026.9269037</v>
      </c>
    </row>
    <row r="320" spans="2:8" x14ac:dyDescent="0.3">
      <c r="B320">
        <v>310</v>
      </c>
      <c r="C320" s="4">
        <f t="shared" si="24"/>
        <v>-63828120.269269042</v>
      </c>
      <c r="D320" s="4">
        <f t="shared" si="25"/>
        <v>5857899.4043183839</v>
      </c>
      <c r="E320" s="4">
        <f t="shared" si="26"/>
        <v>69686019.673587427</v>
      </c>
      <c r="F320" s="4">
        <f t="shared" si="27"/>
        <v>0</v>
      </c>
      <c r="G320" s="4">
        <f t="shared" si="28"/>
        <v>0</v>
      </c>
      <c r="H320" s="6">
        <f t="shared" si="29"/>
        <v>-6452498046.6004915</v>
      </c>
    </row>
    <row r="321" spans="2:8" x14ac:dyDescent="0.3">
      <c r="B321">
        <v>311</v>
      </c>
      <c r="C321" s="4">
        <f t="shared" si="24"/>
        <v>-64524980.466004916</v>
      </c>
      <c r="D321" s="4">
        <f t="shared" si="25"/>
        <v>5857899.4043183839</v>
      </c>
      <c r="E321" s="4">
        <f t="shared" si="26"/>
        <v>70382879.8703233</v>
      </c>
      <c r="F321" s="4">
        <f t="shared" si="27"/>
        <v>0</v>
      </c>
      <c r="G321" s="4">
        <f t="shared" si="28"/>
        <v>0</v>
      </c>
      <c r="H321" s="6">
        <f t="shared" si="29"/>
        <v>-6522880926.4708147</v>
      </c>
    </row>
    <row r="322" spans="2:8" x14ac:dyDescent="0.3">
      <c r="B322">
        <v>312</v>
      </c>
      <c r="C322" s="4">
        <f t="shared" si="24"/>
        <v>-65228809.264708146</v>
      </c>
      <c r="D322" s="4">
        <f t="shared" si="25"/>
        <v>5857899.4043183839</v>
      </c>
      <c r="E322" s="4">
        <f t="shared" si="26"/>
        <v>76086708.669026524</v>
      </c>
      <c r="F322" s="4">
        <f t="shared" si="27"/>
        <v>5000000</v>
      </c>
      <c r="G322" s="4">
        <f t="shared" si="28"/>
        <v>0</v>
      </c>
      <c r="H322" s="6">
        <f t="shared" si="29"/>
        <v>-6598967635.1398411</v>
      </c>
    </row>
    <row r="323" spans="2:8" x14ac:dyDescent="0.3">
      <c r="B323">
        <v>313</v>
      </c>
      <c r="C323" s="4">
        <f t="shared" si="24"/>
        <v>-65989676.351398416</v>
      </c>
      <c r="D323" s="4">
        <f t="shared" si="25"/>
        <v>5857899.4043183839</v>
      </c>
      <c r="E323" s="4">
        <f t="shared" si="26"/>
        <v>71847575.755716801</v>
      </c>
      <c r="F323" s="4">
        <f t="shared" si="27"/>
        <v>0</v>
      </c>
      <c r="G323" s="4">
        <f t="shared" si="28"/>
        <v>0</v>
      </c>
      <c r="H323" s="6">
        <f t="shared" si="29"/>
        <v>-6670815210.8955574</v>
      </c>
    </row>
    <row r="324" spans="2:8" x14ac:dyDescent="0.3">
      <c r="B324">
        <v>314</v>
      </c>
      <c r="C324" s="4">
        <f t="shared" si="24"/>
        <v>-66708152.108955577</v>
      </c>
      <c r="D324" s="4">
        <f t="shared" si="25"/>
        <v>5857899.4043183839</v>
      </c>
      <c r="E324" s="4">
        <f t="shared" si="26"/>
        <v>72566051.513273954</v>
      </c>
      <c r="F324" s="4">
        <f t="shared" si="27"/>
        <v>0</v>
      </c>
      <c r="G324" s="4">
        <f t="shared" si="28"/>
        <v>0</v>
      </c>
      <c r="H324" s="6">
        <f t="shared" si="29"/>
        <v>-6743381262.4088316</v>
      </c>
    </row>
    <row r="325" spans="2:8" x14ac:dyDescent="0.3">
      <c r="B325">
        <v>315</v>
      </c>
      <c r="C325" s="4">
        <f t="shared" si="24"/>
        <v>-67433812.624088317</v>
      </c>
      <c r="D325" s="4">
        <f t="shared" si="25"/>
        <v>5857899.4043183839</v>
      </c>
      <c r="E325" s="4">
        <f t="shared" si="26"/>
        <v>73291712.028406695</v>
      </c>
      <c r="F325" s="4">
        <f t="shared" si="27"/>
        <v>0</v>
      </c>
      <c r="G325" s="4">
        <f t="shared" si="28"/>
        <v>0</v>
      </c>
      <c r="H325" s="6">
        <f t="shared" si="29"/>
        <v>-6816672974.4372387</v>
      </c>
    </row>
    <row r="326" spans="2:8" x14ac:dyDescent="0.3">
      <c r="B326">
        <v>316</v>
      </c>
      <c r="C326" s="4">
        <f t="shared" si="24"/>
        <v>-68166729.744372383</v>
      </c>
      <c r="D326" s="4">
        <f t="shared" si="25"/>
        <v>5857899.4043183839</v>
      </c>
      <c r="E326" s="4">
        <f t="shared" si="26"/>
        <v>74024629.14869076</v>
      </c>
      <c r="F326" s="4">
        <f t="shared" si="27"/>
        <v>0</v>
      </c>
      <c r="G326" s="4">
        <f t="shared" si="28"/>
        <v>0</v>
      </c>
      <c r="H326" s="6">
        <f t="shared" si="29"/>
        <v>-6890697603.5859299</v>
      </c>
    </row>
    <row r="327" spans="2:8" x14ac:dyDescent="0.3">
      <c r="B327">
        <v>317</v>
      </c>
      <c r="C327" s="4">
        <f t="shared" si="24"/>
        <v>-68906976.035859302</v>
      </c>
      <c r="D327" s="4">
        <f t="shared" si="25"/>
        <v>5857899.4043183839</v>
      </c>
      <c r="E327" s="4">
        <f t="shared" si="26"/>
        <v>74764875.440177679</v>
      </c>
      <c r="F327" s="4">
        <f t="shared" si="27"/>
        <v>0</v>
      </c>
      <c r="G327" s="4">
        <f t="shared" si="28"/>
        <v>0</v>
      </c>
      <c r="H327" s="6">
        <f t="shared" si="29"/>
        <v>-6965462479.0261078</v>
      </c>
    </row>
    <row r="328" spans="2:8" x14ac:dyDescent="0.3">
      <c r="B328">
        <v>318</v>
      </c>
      <c r="C328" s="4">
        <f t="shared" si="24"/>
        <v>-69654624.790261075</v>
      </c>
      <c r="D328" s="4">
        <f t="shared" si="25"/>
        <v>5857899.4043183839</v>
      </c>
      <c r="E328" s="4">
        <f t="shared" si="26"/>
        <v>80512524.194579452</v>
      </c>
      <c r="F328" s="4">
        <f t="shared" si="27"/>
        <v>5000000</v>
      </c>
      <c r="G328" s="4">
        <f t="shared" si="28"/>
        <v>0</v>
      </c>
      <c r="H328" s="6">
        <f t="shared" si="29"/>
        <v>-7045975003.2206869</v>
      </c>
    </row>
    <row r="329" spans="2:8" x14ac:dyDescent="0.3">
      <c r="B329">
        <v>319</v>
      </c>
      <c r="C329" s="4">
        <f t="shared" si="24"/>
        <v>-70459750.032206863</v>
      </c>
      <c r="D329" s="4">
        <f t="shared" si="25"/>
        <v>5857899.4043183839</v>
      </c>
      <c r="E329" s="4">
        <f t="shared" si="26"/>
        <v>76317649.436525241</v>
      </c>
      <c r="F329" s="4">
        <f t="shared" si="27"/>
        <v>0</v>
      </c>
      <c r="G329" s="4">
        <f t="shared" si="28"/>
        <v>0</v>
      </c>
      <c r="H329" s="6">
        <f t="shared" si="29"/>
        <v>-7122292652.6572123</v>
      </c>
    </row>
    <row r="330" spans="2:8" x14ac:dyDescent="0.3">
      <c r="B330">
        <v>320</v>
      </c>
      <c r="C330" s="4">
        <f t="shared" si="24"/>
        <v>-71222926.526572123</v>
      </c>
      <c r="D330" s="4">
        <f t="shared" si="25"/>
        <v>5857899.4043183839</v>
      </c>
      <c r="E330" s="4">
        <f t="shared" si="26"/>
        <v>77080825.930890501</v>
      </c>
      <c r="F330" s="4">
        <f t="shared" si="27"/>
        <v>0</v>
      </c>
      <c r="G330" s="4">
        <f t="shared" si="28"/>
        <v>0</v>
      </c>
      <c r="H330" s="6">
        <f t="shared" si="29"/>
        <v>-7199373478.5881023</v>
      </c>
    </row>
    <row r="331" spans="2:8" x14ac:dyDescent="0.3">
      <c r="B331">
        <v>321</v>
      </c>
      <c r="C331" s="4">
        <f t="shared" si="24"/>
        <v>-71993734.785881028</v>
      </c>
      <c r="D331" s="4">
        <f t="shared" si="25"/>
        <v>5857899.4043183839</v>
      </c>
      <c r="E331" s="4">
        <f t="shared" si="26"/>
        <v>77851634.190199405</v>
      </c>
      <c r="F331" s="4">
        <f t="shared" si="27"/>
        <v>0</v>
      </c>
      <c r="G331" s="4">
        <f t="shared" si="28"/>
        <v>0</v>
      </c>
      <c r="H331" s="6">
        <f t="shared" si="29"/>
        <v>-7277225112.7783022</v>
      </c>
    </row>
    <row r="332" spans="2:8" x14ac:dyDescent="0.3">
      <c r="B332">
        <v>322</v>
      </c>
      <c r="C332" s="4">
        <f t="shared" ref="C332:C395" si="30">H331*$C$5</f>
        <v>-72772251.12778303</v>
      </c>
      <c r="D332" s="4">
        <f t="shared" ref="D332:D395" si="31">IF(B332&lt;=$C$6,0,$C$7)</f>
        <v>5857899.4043183839</v>
      </c>
      <c r="E332" s="4">
        <f t="shared" ref="E332:E395" si="32">D332-C332+F332+G332</f>
        <v>78630150.532101408</v>
      </c>
      <c r="F332" s="4">
        <f t="shared" ref="F332:F395" si="33">IF(MOD(B332,$F$3)=0,$F$2,0)</f>
        <v>0</v>
      </c>
      <c r="G332" s="4">
        <f t="shared" ref="G332:G395" si="34">IF(B332=$C$3,$F$4*$C$2,0)</f>
        <v>0</v>
      </c>
      <c r="H332" s="6">
        <f t="shared" ref="H332:H395" si="35">H331-E332</f>
        <v>-7355855263.3104038</v>
      </c>
    </row>
    <row r="333" spans="2:8" x14ac:dyDescent="0.3">
      <c r="B333">
        <v>323</v>
      </c>
      <c r="C333" s="4">
        <f t="shared" si="30"/>
        <v>-73558552.633104041</v>
      </c>
      <c r="D333" s="4">
        <f t="shared" si="31"/>
        <v>5857899.4043183839</v>
      </c>
      <c r="E333" s="4">
        <f t="shared" si="32"/>
        <v>79416452.037422419</v>
      </c>
      <c r="F333" s="4">
        <f t="shared" si="33"/>
        <v>0</v>
      </c>
      <c r="G333" s="4">
        <f t="shared" si="34"/>
        <v>0</v>
      </c>
      <c r="H333" s="6">
        <f t="shared" si="35"/>
        <v>-7435271715.347826</v>
      </c>
    </row>
    <row r="334" spans="2:8" x14ac:dyDescent="0.3">
      <c r="B334">
        <v>324</v>
      </c>
      <c r="C334" s="4">
        <f t="shared" si="30"/>
        <v>-74352717.153478265</v>
      </c>
      <c r="D334" s="4">
        <f t="shared" si="31"/>
        <v>5857899.4043183839</v>
      </c>
      <c r="E334" s="4">
        <f t="shared" si="32"/>
        <v>85210616.557796642</v>
      </c>
      <c r="F334" s="4">
        <f t="shared" si="33"/>
        <v>5000000</v>
      </c>
      <c r="G334" s="4">
        <f t="shared" si="34"/>
        <v>0</v>
      </c>
      <c r="H334" s="6">
        <f t="shared" si="35"/>
        <v>-7520482331.9056225</v>
      </c>
    </row>
    <row r="335" spans="2:8" x14ac:dyDescent="0.3">
      <c r="B335">
        <v>325</v>
      </c>
      <c r="C335" s="4">
        <f t="shared" si="30"/>
        <v>-75204823.319056228</v>
      </c>
      <c r="D335" s="4">
        <f t="shared" si="31"/>
        <v>5857899.4043183839</v>
      </c>
      <c r="E335" s="4">
        <f t="shared" si="32"/>
        <v>81062722.723374605</v>
      </c>
      <c r="F335" s="4">
        <f t="shared" si="33"/>
        <v>0</v>
      </c>
      <c r="G335" s="4">
        <f t="shared" si="34"/>
        <v>0</v>
      </c>
      <c r="H335" s="6">
        <f t="shared" si="35"/>
        <v>-7601545054.6289968</v>
      </c>
    </row>
    <row r="336" spans="2:8" x14ac:dyDescent="0.3">
      <c r="B336">
        <v>326</v>
      </c>
      <c r="C336" s="4">
        <f t="shared" si="30"/>
        <v>-76015450.546289966</v>
      </c>
      <c r="D336" s="4">
        <f t="shared" si="31"/>
        <v>5857899.4043183839</v>
      </c>
      <c r="E336" s="4">
        <f t="shared" si="32"/>
        <v>81873349.950608343</v>
      </c>
      <c r="F336" s="4">
        <f t="shared" si="33"/>
        <v>0</v>
      </c>
      <c r="G336" s="4">
        <f t="shared" si="34"/>
        <v>0</v>
      </c>
      <c r="H336" s="6">
        <f t="shared" si="35"/>
        <v>-7683418404.5796051</v>
      </c>
    </row>
    <row r="337" spans="2:8" x14ac:dyDescent="0.3">
      <c r="B337">
        <v>327</v>
      </c>
      <c r="C337" s="4">
        <f t="shared" si="30"/>
        <v>-76834184.045796052</v>
      </c>
      <c r="D337" s="4">
        <f t="shared" si="31"/>
        <v>5857899.4043183839</v>
      </c>
      <c r="E337" s="4">
        <f t="shared" si="32"/>
        <v>82692083.450114429</v>
      </c>
      <c r="F337" s="4">
        <f t="shared" si="33"/>
        <v>0</v>
      </c>
      <c r="G337" s="4">
        <f t="shared" si="34"/>
        <v>0</v>
      </c>
      <c r="H337" s="6">
        <f t="shared" si="35"/>
        <v>-7766110488.0297194</v>
      </c>
    </row>
    <row r="338" spans="2:8" x14ac:dyDescent="0.3">
      <c r="B338">
        <v>328</v>
      </c>
      <c r="C338" s="4">
        <f t="shared" si="30"/>
        <v>-77661104.880297199</v>
      </c>
      <c r="D338" s="4">
        <f t="shared" si="31"/>
        <v>5857899.4043183839</v>
      </c>
      <c r="E338" s="4">
        <f t="shared" si="32"/>
        <v>83519004.284615576</v>
      </c>
      <c r="F338" s="4">
        <f t="shared" si="33"/>
        <v>0</v>
      </c>
      <c r="G338" s="4">
        <f t="shared" si="34"/>
        <v>0</v>
      </c>
      <c r="H338" s="6">
        <f t="shared" si="35"/>
        <v>-7849629492.3143349</v>
      </c>
    </row>
    <row r="339" spans="2:8" x14ac:dyDescent="0.3">
      <c r="B339">
        <v>329</v>
      </c>
      <c r="C339" s="4">
        <f t="shared" si="30"/>
        <v>-78496294.923143357</v>
      </c>
      <c r="D339" s="4">
        <f t="shared" si="31"/>
        <v>5857899.4043183839</v>
      </c>
      <c r="E339" s="4">
        <f t="shared" si="32"/>
        <v>84354194.327461734</v>
      </c>
      <c r="F339" s="4">
        <f t="shared" si="33"/>
        <v>0</v>
      </c>
      <c r="G339" s="4">
        <f t="shared" si="34"/>
        <v>0</v>
      </c>
      <c r="H339" s="6">
        <f t="shared" si="35"/>
        <v>-7933983686.6417971</v>
      </c>
    </row>
    <row r="340" spans="2:8" x14ac:dyDescent="0.3">
      <c r="B340">
        <v>330</v>
      </c>
      <c r="C340" s="4">
        <f t="shared" si="30"/>
        <v>-79339836.866417974</v>
      </c>
      <c r="D340" s="4">
        <f t="shared" si="31"/>
        <v>5857899.4043183839</v>
      </c>
      <c r="E340" s="4">
        <f t="shared" si="32"/>
        <v>90197736.270736352</v>
      </c>
      <c r="F340" s="4">
        <f t="shared" si="33"/>
        <v>5000000</v>
      </c>
      <c r="G340" s="4">
        <f t="shared" si="34"/>
        <v>0</v>
      </c>
      <c r="H340" s="6">
        <f t="shared" si="35"/>
        <v>-8024181422.9125338</v>
      </c>
    </row>
    <row r="341" spans="2:8" x14ac:dyDescent="0.3">
      <c r="B341">
        <v>331</v>
      </c>
      <c r="C341" s="4">
        <f t="shared" si="30"/>
        <v>-80241814.229125336</v>
      </c>
      <c r="D341" s="4">
        <f t="shared" si="31"/>
        <v>5857899.4043183839</v>
      </c>
      <c r="E341" s="4">
        <f t="shared" si="32"/>
        <v>86099713.633443713</v>
      </c>
      <c r="F341" s="4">
        <f t="shared" si="33"/>
        <v>0</v>
      </c>
      <c r="G341" s="4">
        <f t="shared" si="34"/>
        <v>0</v>
      </c>
      <c r="H341" s="6">
        <f t="shared" si="35"/>
        <v>-8110281136.5459776</v>
      </c>
    </row>
    <row r="342" spans="2:8" x14ac:dyDescent="0.3">
      <c r="B342">
        <v>332</v>
      </c>
      <c r="C342" s="4">
        <f t="shared" si="30"/>
        <v>-81102811.365459785</v>
      </c>
      <c r="D342" s="4">
        <f t="shared" si="31"/>
        <v>5857899.4043183839</v>
      </c>
      <c r="E342" s="4">
        <f t="shared" si="32"/>
        <v>86960710.769778162</v>
      </c>
      <c r="F342" s="4">
        <f t="shared" si="33"/>
        <v>0</v>
      </c>
      <c r="G342" s="4">
        <f t="shared" si="34"/>
        <v>0</v>
      </c>
      <c r="H342" s="6">
        <f t="shared" si="35"/>
        <v>-8197241847.3157558</v>
      </c>
    </row>
    <row r="343" spans="2:8" x14ac:dyDescent="0.3">
      <c r="B343">
        <v>333</v>
      </c>
      <c r="C343" s="4">
        <f t="shared" si="30"/>
        <v>-81972418.473157555</v>
      </c>
      <c r="D343" s="4">
        <f t="shared" si="31"/>
        <v>5857899.4043183839</v>
      </c>
      <c r="E343" s="4">
        <f t="shared" si="32"/>
        <v>87830317.877475932</v>
      </c>
      <c r="F343" s="4">
        <f t="shared" si="33"/>
        <v>0</v>
      </c>
      <c r="G343" s="4">
        <f t="shared" si="34"/>
        <v>0</v>
      </c>
      <c r="H343" s="6">
        <f t="shared" si="35"/>
        <v>-8285072165.1932316</v>
      </c>
    </row>
    <row r="344" spans="2:8" x14ac:dyDescent="0.3">
      <c r="B344">
        <v>334</v>
      </c>
      <c r="C344" s="4">
        <f t="shared" si="30"/>
        <v>-82850721.651932314</v>
      </c>
      <c r="D344" s="4">
        <f t="shared" si="31"/>
        <v>5857899.4043183839</v>
      </c>
      <c r="E344" s="4">
        <f t="shared" si="32"/>
        <v>88708621.056250691</v>
      </c>
      <c r="F344" s="4">
        <f t="shared" si="33"/>
        <v>0</v>
      </c>
      <c r="G344" s="4">
        <f t="shared" si="34"/>
        <v>0</v>
      </c>
      <c r="H344" s="6">
        <f t="shared" si="35"/>
        <v>-8373780786.2494822</v>
      </c>
    </row>
    <row r="345" spans="2:8" x14ac:dyDescent="0.3">
      <c r="B345">
        <v>335</v>
      </c>
      <c r="C345" s="4">
        <f t="shared" si="30"/>
        <v>-83737807.862494826</v>
      </c>
      <c r="D345" s="4">
        <f t="shared" si="31"/>
        <v>5857899.4043183839</v>
      </c>
      <c r="E345" s="4">
        <f t="shared" si="32"/>
        <v>89595707.266813204</v>
      </c>
      <c r="F345" s="4">
        <f t="shared" si="33"/>
        <v>0</v>
      </c>
      <c r="G345" s="4">
        <f t="shared" si="34"/>
        <v>0</v>
      </c>
      <c r="H345" s="6">
        <f t="shared" si="35"/>
        <v>-8463376493.5162954</v>
      </c>
    </row>
    <row r="346" spans="2:8" x14ac:dyDescent="0.3">
      <c r="B346">
        <v>336</v>
      </c>
      <c r="C346" s="4">
        <f t="shared" si="30"/>
        <v>-84633764.935162961</v>
      </c>
      <c r="D346" s="4">
        <f t="shared" si="31"/>
        <v>5857899.4043183839</v>
      </c>
      <c r="E346" s="4">
        <f t="shared" si="32"/>
        <v>95491664.339481339</v>
      </c>
      <c r="F346" s="4">
        <f t="shared" si="33"/>
        <v>5000000</v>
      </c>
      <c r="G346" s="4">
        <f t="shared" si="34"/>
        <v>0</v>
      </c>
      <c r="H346" s="6">
        <f t="shared" si="35"/>
        <v>-8558868157.8557768</v>
      </c>
    </row>
    <row r="347" spans="2:8" x14ac:dyDescent="0.3">
      <c r="B347">
        <v>337</v>
      </c>
      <c r="C347" s="4">
        <f t="shared" si="30"/>
        <v>-85588681.578557774</v>
      </c>
      <c r="D347" s="4">
        <f t="shared" si="31"/>
        <v>5857899.4043183839</v>
      </c>
      <c r="E347" s="4">
        <f t="shared" si="32"/>
        <v>91446580.982876152</v>
      </c>
      <c r="F347" s="4">
        <f t="shared" si="33"/>
        <v>0</v>
      </c>
      <c r="G347" s="4">
        <f t="shared" si="34"/>
        <v>0</v>
      </c>
      <c r="H347" s="6">
        <f t="shared" si="35"/>
        <v>-8650314738.8386536</v>
      </c>
    </row>
    <row r="348" spans="2:8" x14ac:dyDescent="0.3">
      <c r="B348">
        <v>338</v>
      </c>
      <c r="C348" s="4">
        <f t="shared" si="30"/>
        <v>-86503147.388386533</v>
      </c>
      <c r="D348" s="4">
        <f t="shared" si="31"/>
        <v>5857899.4043183839</v>
      </c>
      <c r="E348" s="4">
        <f t="shared" si="32"/>
        <v>92361046.79270491</v>
      </c>
      <c r="F348" s="4">
        <f t="shared" si="33"/>
        <v>0</v>
      </c>
      <c r="G348" s="4">
        <f t="shared" si="34"/>
        <v>0</v>
      </c>
      <c r="H348" s="6">
        <f t="shared" si="35"/>
        <v>-8742675785.6313591</v>
      </c>
    </row>
    <row r="349" spans="2:8" x14ac:dyDescent="0.3">
      <c r="B349">
        <v>339</v>
      </c>
      <c r="C349" s="4">
        <f t="shared" si="30"/>
        <v>-87426757.856313586</v>
      </c>
      <c r="D349" s="4">
        <f t="shared" si="31"/>
        <v>5857899.4043183839</v>
      </c>
      <c r="E349" s="4">
        <f t="shared" si="32"/>
        <v>93284657.260631964</v>
      </c>
      <c r="F349" s="4">
        <f t="shared" si="33"/>
        <v>0</v>
      </c>
      <c r="G349" s="4">
        <f t="shared" si="34"/>
        <v>0</v>
      </c>
      <c r="H349" s="6">
        <f t="shared" si="35"/>
        <v>-8835960442.8919907</v>
      </c>
    </row>
    <row r="350" spans="2:8" x14ac:dyDescent="0.3">
      <c r="B350">
        <v>340</v>
      </c>
      <c r="C350" s="4">
        <f t="shared" si="30"/>
        <v>-88359604.428919911</v>
      </c>
      <c r="D350" s="4">
        <f t="shared" si="31"/>
        <v>5857899.4043183839</v>
      </c>
      <c r="E350" s="4">
        <f t="shared" si="32"/>
        <v>94217503.833238289</v>
      </c>
      <c r="F350" s="4">
        <f t="shared" si="33"/>
        <v>0</v>
      </c>
      <c r="G350" s="4">
        <f t="shared" si="34"/>
        <v>0</v>
      </c>
      <c r="H350" s="6">
        <f t="shared" si="35"/>
        <v>-8930177946.7252293</v>
      </c>
    </row>
    <row r="351" spans="2:8" x14ac:dyDescent="0.3">
      <c r="B351">
        <v>341</v>
      </c>
      <c r="C351" s="4">
        <f t="shared" si="30"/>
        <v>-89301779.467252299</v>
      </c>
      <c r="D351" s="4">
        <f t="shared" si="31"/>
        <v>5857899.4043183839</v>
      </c>
      <c r="E351" s="4">
        <f t="shared" si="32"/>
        <v>95159678.871570677</v>
      </c>
      <c r="F351" s="4">
        <f t="shared" si="33"/>
        <v>0</v>
      </c>
      <c r="G351" s="4">
        <f t="shared" si="34"/>
        <v>0</v>
      </c>
      <c r="H351" s="6">
        <f t="shared" si="35"/>
        <v>-9025337625.5967999</v>
      </c>
    </row>
    <row r="352" spans="2:8" x14ac:dyDescent="0.3">
      <c r="B352">
        <v>342</v>
      </c>
      <c r="C352" s="4">
        <f t="shared" si="30"/>
        <v>-90253376.255968004</v>
      </c>
      <c r="D352" s="4">
        <f t="shared" si="31"/>
        <v>5857899.4043183839</v>
      </c>
      <c r="E352" s="4">
        <f t="shared" si="32"/>
        <v>101111275.66028638</v>
      </c>
      <c r="F352" s="4">
        <f t="shared" si="33"/>
        <v>5000000</v>
      </c>
      <c r="G352" s="4">
        <f t="shared" si="34"/>
        <v>0</v>
      </c>
      <c r="H352" s="6">
        <f t="shared" si="35"/>
        <v>-9126448901.2570858</v>
      </c>
    </row>
    <row r="353" spans="2:8" x14ac:dyDescent="0.3">
      <c r="B353">
        <v>343</v>
      </c>
      <c r="C353" s="4">
        <f t="shared" si="30"/>
        <v>-91264489.012570858</v>
      </c>
      <c r="D353" s="4">
        <f t="shared" si="31"/>
        <v>5857899.4043183839</v>
      </c>
      <c r="E353" s="4">
        <f t="shared" si="32"/>
        <v>97122388.416889235</v>
      </c>
      <c r="F353" s="4">
        <f t="shared" si="33"/>
        <v>0</v>
      </c>
      <c r="G353" s="4">
        <f t="shared" si="34"/>
        <v>0</v>
      </c>
      <c r="H353" s="6">
        <f t="shared" si="35"/>
        <v>-9223571289.673975</v>
      </c>
    </row>
    <row r="354" spans="2:8" x14ac:dyDescent="0.3">
      <c r="B354">
        <v>344</v>
      </c>
      <c r="C354" s="4">
        <f t="shared" si="30"/>
        <v>-92235712.896739751</v>
      </c>
      <c r="D354" s="4">
        <f t="shared" si="31"/>
        <v>5857899.4043183839</v>
      </c>
      <c r="E354" s="4">
        <f t="shared" si="32"/>
        <v>98093612.301058128</v>
      </c>
      <c r="F354" s="4">
        <f t="shared" si="33"/>
        <v>0</v>
      </c>
      <c r="G354" s="4">
        <f t="shared" si="34"/>
        <v>0</v>
      </c>
      <c r="H354" s="6">
        <f t="shared" si="35"/>
        <v>-9321664901.9750328</v>
      </c>
    </row>
    <row r="355" spans="2:8" x14ac:dyDescent="0.3">
      <c r="B355">
        <v>345</v>
      </c>
      <c r="C355" s="4">
        <f t="shared" si="30"/>
        <v>-93216649.019750327</v>
      </c>
      <c r="D355" s="4">
        <f t="shared" si="31"/>
        <v>5857899.4043183839</v>
      </c>
      <c r="E355" s="4">
        <f t="shared" si="32"/>
        <v>99074548.424068704</v>
      </c>
      <c r="F355" s="4">
        <f t="shared" si="33"/>
        <v>0</v>
      </c>
      <c r="G355" s="4">
        <f t="shared" si="34"/>
        <v>0</v>
      </c>
      <c r="H355" s="6">
        <f t="shared" si="35"/>
        <v>-9420739450.3991013</v>
      </c>
    </row>
    <row r="356" spans="2:8" x14ac:dyDescent="0.3">
      <c r="B356">
        <v>346</v>
      </c>
      <c r="C356" s="4">
        <f t="shared" si="30"/>
        <v>-94207394.503991008</v>
      </c>
      <c r="D356" s="4">
        <f t="shared" si="31"/>
        <v>5857899.4043183839</v>
      </c>
      <c r="E356" s="4">
        <f t="shared" si="32"/>
        <v>100065293.90830939</v>
      </c>
      <c r="F356" s="4">
        <f t="shared" si="33"/>
        <v>0</v>
      </c>
      <c r="G356" s="4">
        <f t="shared" si="34"/>
        <v>0</v>
      </c>
      <c r="H356" s="6">
        <f t="shared" si="35"/>
        <v>-9520804744.3074112</v>
      </c>
    </row>
    <row r="357" spans="2:8" x14ac:dyDescent="0.3">
      <c r="B357">
        <v>347</v>
      </c>
      <c r="C357" s="4">
        <f t="shared" si="30"/>
        <v>-95208047.443074107</v>
      </c>
      <c r="D357" s="4">
        <f t="shared" si="31"/>
        <v>5857899.4043183839</v>
      </c>
      <c r="E357" s="4">
        <f t="shared" si="32"/>
        <v>101065946.84739248</v>
      </c>
      <c r="F357" s="4">
        <f t="shared" si="33"/>
        <v>0</v>
      </c>
      <c r="G357" s="4">
        <f t="shared" si="34"/>
        <v>0</v>
      </c>
      <c r="H357" s="6">
        <f t="shared" si="35"/>
        <v>-9621870691.1548042</v>
      </c>
    </row>
    <row r="358" spans="2:8" x14ac:dyDescent="0.3">
      <c r="B358">
        <v>348</v>
      </c>
      <c r="C358" s="4">
        <f t="shared" si="30"/>
        <v>-96218706.911548048</v>
      </c>
      <c r="D358" s="4">
        <f t="shared" si="31"/>
        <v>5857899.4043183839</v>
      </c>
      <c r="E358" s="4">
        <f t="shared" si="32"/>
        <v>107076606.31586643</v>
      </c>
      <c r="F358" s="4">
        <f t="shared" si="33"/>
        <v>5000000</v>
      </c>
      <c r="G358" s="4">
        <f t="shared" si="34"/>
        <v>0</v>
      </c>
      <c r="H358" s="6">
        <f t="shared" si="35"/>
        <v>-9728947297.4706707</v>
      </c>
    </row>
    <row r="359" spans="2:8" x14ac:dyDescent="0.3">
      <c r="B359">
        <v>349</v>
      </c>
      <c r="C359" s="4">
        <f t="shared" si="30"/>
        <v>-97289472.974706709</v>
      </c>
      <c r="D359" s="4">
        <f t="shared" si="31"/>
        <v>5857899.4043183839</v>
      </c>
      <c r="E359" s="4">
        <f t="shared" si="32"/>
        <v>103147372.37902509</v>
      </c>
      <c r="F359" s="4">
        <f t="shared" si="33"/>
        <v>0</v>
      </c>
      <c r="G359" s="4">
        <f t="shared" si="34"/>
        <v>0</v>
      </c>
      <c r="H359" s="6">
        <f t="shared" si="35"/>
        <v>-9832094669.8496952</v>
      </c>
    </row>
    <row r="360" spans="2:8" x14ac:dyDescent="0.3">
      <c r="B360">
        <v>350</v>
      </c>
      <c r="C360" s="4">
        <f t="shared" si="30"/>
        <v>-98320946.698496953</v>
      </c>
      <c r="D360" s="4">
        <f t="shared" si="31"/>
        <v>5857899.4043183839</v>
      </c>
      <c r="E360" s="4">
        <f t="shared" si="32"/>
        <v>104178846.10281533</v>
      </c>
      <c r="F360" s="4">
        <f t="shared" si="33"/>
        <v>0</v>
      </c>
      <c r="G360" s="4">
        <f t="shared" si="34"/>
        <v>0</v>
      </c>
      <c r="H360" s="6">
        <f t="shared" si="35"/>
        <v>-9936273515.9525108</v>
      </c>
    </row>
    <row r="361" spans="2:8" x14ac:dyDescent="0.3">
      <c r="B361">
        <v>351</v>
      </c>
      <c r="C361" s="4">
        <f t="shared" si="30"/>
        <v>-99362735.159525111</v>
      </c>
      <c r="D361" s="4">
        <f t="shared" si="31"/>
        <v>5857899.4043183839</v>
      </c>
      <c r="E361" s="4">
        <f t="shared" si="32"/>
        <v>105220634.56384349</v>
      </c>
      <c r="F361" s="4">
        <f t="shared" si="33"/>
        <v>0</v>
      </c>
      <c r="G361" s="4">
        <f t="shared" si="34"/>
        <v>0</v>
      </c>
      <c r="H361" s="6">
        <f t="shared" si="35"/>
        <v>-10041494150.516354</v>
      </c>
    </row>
    <row r="362" spans="2:8" x14ac:dyDescent="0.3">
      <c r="B362">
        <v>352</v>
      </c>
      <c r="C362" s="4">
        <f t="shared" si="30"/>
        <v>-100414941.50516354</v>
      </c>
      <c r="D362" s="4">
        <f t="shared" si="31"/>
        <v>5857899.4043183839</v>
      </c>
      <c r="E362" s="4">
        <f t="shared" si="32"/>
        <v>106272840.90948191</v>
      </c>
      <c r="F362" s="4">
        <f t="shared" si="33"/>
        <v>0</v>
      </c>
      <c r="G362" s="4">
        <f t="shared" si="34"/>
        <v>0</v>
      </c>
      <c r="H362" s="6">
        <f t="shared" si="35"/>
        <v>-10147766991.425835</v>
      </c>
    </row>
    <row r="363" spans="2:8" x14ac:dyDescent="0.3">
      <c r="B363">
        <v>353</v>
      </c>
      <c r="C363" s="4">
        <f t="shared" si="30"/>
        <v>-101477669.91425835</v>
      </c>
      <c r="D363" s="4">
        <f t="shared" si="31"/>
        <v>5857899.4043183839</v>
      </c>
      <c r="E363" s="4">
        <f t="shared" si="32"/>
        <v>107335569.31857672</v>
      </c>
      <c r="F363" s="4">
        <f t="shared" si="33"/>
        <v>0</v>
      </c>
      <c r="G363" s="4">
        <f t="shared" si="34"/>
        <v>0</v>
      </c>
      <c r="H363" s="6">
        <f t="shared" si="35"/>
        <v>-10255102560.744411</v>
      </c>
    </row>
    <row r="364" spans="2:8" x14ac:dyDescent="0.3">
      <c r="B364">
        <v>354</v>
      </c>
      <c r="C364" s="4">
        <f t="shared" si="30"/>
        <v>-102551025.60744412</v>
      </c>
      <c r="D364" s="4">
        <f t="shared" si="31"/>
        <v>5857899.4043183839</v>
      </c>
      <c r="E364" s="4">
        <f t="shared" si="32"/>
        <v>113408925.0117625</v>
      </c>
      <c r="F364" s="4">
        <f t="shared" si="33"/>
        <v>5000000</v>
      </c>
      <c r="G364" s="4">
        <f t="shared" si="34"/>
        <v>0</v>
      </c>
      <c r="H364" s="6">
        <f t="shared" si="35"/>
        <v>-10368511485.756174</v>
      </c>
    </row>
    <row r="365" spans="2:8" x14ac:dyDescent="0.3">
      <c r="B365">
        <v>355</v>
      </c>
      <c r="C365" s="4">
        <f t="shared" si="30"/>
        <v>-103685114.85756174</v>
      </c>
      <c r="D365" s="4">
        <f t="shared" si="31"/>
        <v>5857899.4043183839</v>
      </c>
      <c r="E365" s="4">
        <f t="shared" si="32"/>
        <v>109543014.26188011</v>
      </c>
      <c r="F365" s="4">
        <f t="shared" si="33"/>
        <v>0</v>
      </c>
      <c r="G365" s="4">
        <f t="shared" si="34"/>
        <v>0</v>
      </c>
      <c r="H365" s="6">
        <f t="shared" si="35"/>
        <v>-10478054500.018055</v>
      </c>
    </row>
    <row r="366" spans="2:8" x14ac:dyDescent="0.3">
      <c r="B366">
        <v>356</v>
      </c>
      <c r="C366" s="4">
        <f t="shared" si="30"/>
        <v>-104780545.00018056</v>
      </c>
      <c r="D366" s="4">
        <f t="shared" si="31"/>
        <v>5857899.4043183839</v>
      </c>
      <c r="E366" s="4">
        <f t="shared" si="32"/>
        <v>110638444.40449893</v>
      </c>
      <c r="F366" s="4">
        <f t="shared" si="33"/>
        <v>0</v>
      </c>
      <c r="G366" s="4">
        <f t="shared" si="34"/>
        <v>0</v>
      </c>
      <c r="H366" s="6">
        <f t="shared" si="35"/>
        <v>-10588692944.422554</v>
      </c>
    </row>
    <row r="367" spans="2:8" x14ac:dyDescent="0.3">
      <c r="B367">
        <v>357</v>
      </c>
      <c r="C367" s="4">
        <f t="shared" si="30"/>
        <v>-105886929.44422555</v>
      </c>
      <c r="D367" s="4">
        <f t="shared" si="31"/>
        <v>5857899.4043183839</v>
      </c>
      <c r="E367" s="4">
        <f t="shared" si="32"/>
        <v>111744828.84854393</v>
      </c>
      <c r="F367" s="4">
        <f t="shared" si="33"/>
        <v>0</v>
      </c>
      <c r="G367" s="4">
        <f t="shared" si="34"/>
        <v>0</v>
      </c>
      <c r="H367" s="6">
        <f t="shared" si="35"/>
        <v>-10700437773.271097</v>
      </c>
    </row>
    <row r="368" spans="2:8" x14ac:dyDescent="0.3">
      <c r="B368">
        <v>358</v>
      </c>
      <c r="C368" s="4">
        <f t="shared" si="30"/>
        <v>-107004377.73271097</v>
      </c>
      <c r="D368" s="4">
        <f t="shared" si="31"/>
        <v>5857899.4043183839</v>
      </c>
      <c r="E368" s="4">
        <f t="shared" si="32"/>
        <v>112862277.13702935</v>
      </c>
      <c r="F368" s="4">
        <f t="shared" si="33"/>
        <v>0</v>
      </c>
      <c r="G368" s="4">
        <f t="shared" si="34"/>
        <v>0</v>
      </c>
      <c r="H368" s="6">
        <f t="shared" si="35"/>
        <v>-10813300050.408127</v>
      </c>
    </row>
    <row r="369" spans="2:8" x14ac:dyDescent="0.3">
      <c r="B369">
        <v>359</v>
      </c>
      <c r="C369" s="4">
        <f t="shared" si="30"/>
        <v>-108133000.50408126</v>
      </c>
      <c r="D369" s="4">
        <f t="shared" si="31"/>
        <v>5857899.4043183839</v>
      </c>
      <c r="E369" s="4">
        <f t="shared" si="32"/>
        <v>113990899.90839964</v>
      </c>
      <c r="F369" s="4">
        <f t="shared" si="33"/>
        <v>0</v>
      </c>
      <c r="G369" s="4">
        <f t="shared" si="34"/>
        <v>0</v>
      </c>
      <c r="H369" s="6">
        <f t="shared" si="35"/>
        <v>-10927290950.316526</v>
      </c>
    </row>
    <row r="370" spans="2:8" x14ac:dyDescent="0.3">
      <c r="B370">
        <v>360</v>
      </c>
      <c r="C370" s="4">
        <f t="shared" si="30"/>
        <v>-109272909.50316526</v>
      </c>
      <c r="D370" s="4">
        <f t="shared" si="31"/>
        <v>5857899.4043183839</v>
      </c>
      <c r="E370" s="4">
        <f t="shared" si="32"/>
        <v>120130808.90748364</v>
      </c>
      <c r="F370" s="4">
        <f t="shared" si="33"/>
        <v>5000000</v>
      </c>
      <c r="G370" s="4">
        <f t="shared" si="34"/>
        <v>0</v>
      </c>
      <c r="H370" s="6">
        <f t="shared" si="35"/>
        <v>-11047421759.22401</v>
      </c>
    </row>
    <row r="371" spans="2:8" x14ac:dyDescent="0.3">
      <c r="B371">
        <v>361</v>
      </c>
      <c r="C371" s="4">
        <f t="shared" si="30"/>
        <v>-110474217.59224011</v>
      </c>
      <c r="D371" s="4">
        <f t="shared" si="31"/>
        <v>5857899.4043183839</v>
      </c>
      <c r="E371" s="4">
        <f t="shared" si="32"/>
        <v>116332116.99655849</v>
      </c>
      <c r="F371" s="4">
        <f t="shared" si="33"/>
        <v>0</v>
      </c>
      <c r="G371" s="4">
        <f t="shared" si="34"/>
        <v>0</v>
      </c>
      <c r="H371" s="6">
        <f t="shared" si="35"/>
        <v>-11163753876.22057</v>
      </c>
    </row>
    <row r="372" spans="2:8" x14ac:dyDescent="0.3">
      <c r="B372">
        <v>362</v>
      </c>
      <c r="C372" s="4">
        <f t="shared" si="30"/>
        <v>-111637538.76220571</v>
      </c>
      <c r="D372" s="4">
        <f t="shared" si="31"/>
        <v>5857899.4043183839</v>
      </c>
      <c r="E372" s="4">
        <f t="shared" si="32"/>
        <v>117495438.16652408</v>
      </c>
      <c r="F372" s="4">
        <f t="shared" si="33"/>
        <v>0</v>
      </c>
      <c r="G372" s="4">
        <f t="shared" si="34"/>
        <v>0</v>
      </c>
      <c r="H372" s="6">
        <f t="shared" si="35"/>
        <v>-11281249314.387094</v>
      </c>
    </row>
    <row r="373" spans="2:8" x14ac:dyDescent="0.3">
      <c r="B373">
        <v>363</v>
      </c>
      <c r="C373" s="4">
        <f t="shared" si="30"/>
        <v>-112812493.14387095</v>
      </c>
      <c r="D373" s="4">
        <f t="shared" si="31"/>
        <v>5857899.4043183839</v>
      </c>
      <c r="E373" s="4">
        <f t="shared" si="32"/>
        <v>118670392.54818933</v>
      </c>
      <c r="F373" s="4">
        <f t="shared" si="33"/>
        <v>0</v>
      </c>
      <c r="G373" s="4">
        <f t="shared" si="34"/>
        <v>0</v>
      </c>
      <c r="H373" s="6">
        <f t="shared" si="35"/>
        <v>-11399919706.935284</v>
      </c>
    </row>
    <row r="374" spans="2:8" x14ac:dyDescent="0.3">
      <c r="B374">
        <v>364</v>
      </c>
      <c r="C374" s="4">
        <f t="shared" si="30"/>
        <v>-113999197.06935284</v>
      </c>
      <c r="D374" s="4">
        <f t="shared" si="31"/>
        <v>5857899.4043183839</v>
      </c>
      <c r="E374" s="4">
        <f t="shared" si="32"/>
        <v>119857096.47367121</v>
      </c>
      <c r="F374" s="4">
        <f t="shared" si="33"/>
        <v>0</v>
      </c>
      <c r="G374" s="4">
        <f t="shared" si="34"/>
        <v>0</v>
      </c>
      <c r="H374" s="6">
        <f t="shared" si="35"/>
        <v>-11519776803.408955</v>
      </c>
    </row>
    <row r="375" spans="2:8" x14ac:dyDescent="0.3">
      <c r="B375">
        <v>365</v>
      </c>
      <c r="C375" s="4">
        <f t="shared" si="30"/>
        <v>-115197768.03408955</v>
      </c>
      <c r="D375" s="4">
        <f t="shared" si="31"/>
        <v>5857899.4043183839</v>
      </c>
      <c r="E375" s="4">
        <f t="shared" si="32"/>
        <v>121055667.43840793</v>
      </c>
      <c r="F375" s="4">
        <f t="shared" si="33"/>
        <v>0</v>
      </c>
      <c r="G375" s="4">
        <f t="shared" si="34"/>
        <v>0</v>
      </c>
      <c r="H375" s="6">
        <f t="shared" si="35"/>
        <v>-11640832470.847363</v>
      </c>
    </row>
    <row r="376" spans="2:8" x14ac:dyDescent="0.3">
      <c r="B376">
        <v>366</v>
      </c>
      <c r="C376" s="4">
        <f t="shared" si="30"/>
        <v>-116408324.70847362</v>
      </c>
      <c r="D376" s="4">
        <f t="shared" si="31"/>
        <v>5857899.4043183839</v>
      </c>
      <c r="E376" s="4">
        <f t="shared" si="32"/>
        <v>127266224.112792</v>
      </c>
      <c r="F376" s="4">
        <f t="shared" si="33"/>
        <v>5000000</v>
      </c>
      <c r="G376" s="4">
        <f t="shared" si="34"/>
        <v>0</v>
      </c>
      <c r="H376" s="6">
        <f t="shared" si="35"/>
        <v>-11768098694.960154</v>
      </c>
    </row>
    <row r="377" spans="2:8" x14ac:dyDescent="0.3">
      <c r="B377">
        <v>367</v>
      </c>
      <c r="C377" s="4">
        <f t="shared" si="30"/>
        <v>-117680986.94960153</v>
      </c>
      <c r="D377" s="4">
        <f t="shared" si="31"/>
        <v>5857899.4043183839</v>
      </c>
      <c r="E377" s="4">
        <f t="shared" si="32"/>
        <v>123538886.35391991</v>
      </c>
      <c r="F377" s="4">
        <f t="shared" si="33"/>
        <v>0</v>
      </c>
      <c r="G377" s="4">
        <f t="shared" si="34"/>
        <v>0</v>
      </c>
      <c r="H377" s="6">
        <f t="shared" si="35"/>
        <v>-11891637581.314074</v>
      </c>
    </row>
    <row r="378" spans="2:8" x14ac:dyDescent="0.3">
      <c r="B378">
        <v>368</v>
      </c>
      <c r="C378" s="4">
        <f t="shared" si="30"/>
        <v>-118916375.81314074</v>
      </c>
      <c r="D378" s="4">
        <f t="shared" si="31"/>
        <v>5857899.4043183839</v>
      </c>
      <c r="E378" s="4">
        <f t="shared" si="32"/>
        <v>124774275.21745911</v>
      </c>
      <c r="F378" s="4">
        <f t="shared" si="33"/>
        <v>0</v>
      </c>
      <c r="G378" s="4">
        <f t="shared" si="34"/>
        <v>0</v>
      </c>
      <c r="H378" s="6">
        <f t="shared" si="35"/>
        <v>-12016411856.531532</v>
      </c>
    </row>
    <row r="379" spans="2:8" x14ac:dyDescent="0.3">
      <c r="B379">
        <v>369</v>
      </c>
      <c r="C379" s="4">
        <f t="shared" si="30"/>
        <v>-120164118.56531532</v>
      </c>
      <c r="D379" s="4">
        <f t="shared" si="31"/>
        <v>5857899.4043183839</v>
      </c>
      <c r="E379" s="4">
        <f t="shared" si="32"/>
        <v>126022017.9696337</v>
      </c>
      <c r="F379" s="4">
        <f t="shared" si="33"/>
        <v>0</v>
      </c>
      <c r="G379" s="4">
        <f t="shared" si="34"/>
        <v>0</v>
      </c>
      <c r="H379" s="6">
        <f t="shared" si="35"/>
        <v>-12142433874.501165</v>
      </c>
    </row>
    <row r="380" spans="2:8" x14ac:dyDescent="0.3">
      <c r="B380">
        <v>370</v>
      </c>
      <c r="C380" s="4">
        <f t="shared" si="30"/>
        <v>-121424338.74501166</v>
      </c>
      <c r="D380" s="4">
        <f t="shared" si="31"/>
        <v>5857899.4043183839</v>
      </c>
      <c r="E380" s="4">
        <f t="shared" si="32"/>
        <v>127282238.14933003</v>
      </c>
      <c r="F380" s="4">
        <f t="shared" si="33"/>
        <v>0</v>
      </c>
      <c r="G380" s="4">
        <f t="shared" si="34"/>
        <v>0</v>
      </c>
      <c r="H380" s="6">
        <f t="shared" si="35"/>
        <v>-12269716112.650496</v>
      </c>
    </row>
    <row r="381" spans="2:8" x14ac:dyDescent="0.3">
      <c r="B381">
        <v>371</v>
      </c>
      <c r="C381" s="4">
        <f t="shared" si="30"/>
        <v>-122697161.12650496</v>
      </c>
      <c r="D381" s="4">
        <f t="shared" si="31"/>
        <v>5857899.4043183839</v>
      </c>
      <c r="E381" s="4">
        <f t="shared" si="32"/>
        <v>128555060.53082334</v>
      </c>
      <c r="F381" s="4">
        <f t="shared" si="33"/>
        <v>0</v>
      </c>
      <c r="G381" s="4">
        <f t="shared" si="34"/>
        <v>0</v>
      </c>
      <c r="H381" s="6">
        <f t="shared" si="35"/>
        <v>-12398271173.181318</v>
      </c>
    </row>
    <row r="382" spans="2:8" x14ac:dyDescent="0.3">
      <c r="B382">
        <v>372</v>
      </c>
      <c r="C382" s="4">
        <f t="shared" si="30"/>
        <v>-123982711.73181319</v>
      </c>
      <c r="D382" s="4">
        <f t="shared" si="31"/>
        <v>5857899.4043183839</v>
      </c>
      <c r="E382" s="4">
        <f t="shared" si="32"/>
        <v>134840611.13613158</v>
      </c>
      <c r="F382" s="4">
        <f t="shared" si="33"/>
        <v>5000000</v>
      </c>
      <c r="G382" s="4">
        <f t="shared" si="34"/>
        <v>0</v>
      </c>
      <c r="H382" s="6">
        <f t="shared" si="35"/>
        <v>-12533111784.31745</v>
      </c>
    </row>
    <row r="383" spans="2:8" x14ac:dyDescent="0.3">
      <c r="B383">
        <v>373</v>
      </c>
      <c r="C383" s="4">
        <f t="shared" si="30"/>
        <v>-125331117.8431745</v>
      </c>
      <c r="D383" s="4">
        <f t="shared" si="31"/>
        <v>5857899.4043183839</v>
      </c>
      <c r="E383" s="4">
        <f t="shared" si="32"/>
        <v>131189017.24749288</v>
      </c>
      <c r="F383" s="4">
        <f t="shared" si="33"/>
        <v>0</v>
      </c>
      <c r="G383" s="4">
        <f t="shared" si="34"/>
        <v>0</v>
      </c>
      <c r="H383" s="6">
        <f t="shared" si="35"/>
        <v>-12664300801.564943</v>
      </c>
    </row>
    <row r="384" spans="2:8" x14ac:dyDescent="0.3">
      <c r="B384">
        <v>374</v>
      </c>
      <c r="C384" s="4">
        <f t="shared" si="30"/>
        <v>-126643008.01564944</v>
      </c>
      <c r="D384" s="4">
        <f t="shared" si="31"/>
        <v>5857899.4043183839</v>
      </c>
      <c r="E384" s="4">
        <f t="shared" si="32"/>
        <v>132500907.41996782</v>
      </c>
      <c r="F384" s="4">
        <f t="shared" si="33"/>
        <v>0</v>
      </c>
      <c r="G384" s="4">
        <f t="shared" si="34"/>
        <v>0</v>
      </c>
      <c r="H384" s="6">
        <f t="shared" si="35"/>
        <v>-12796801708.984911</v>
      </c>
    </row>
    <row r="385" spans="2:8" x14ac:dyDescent="0.3">
      <c r="B385">
        <v>375</v>
      </c>
      <c r="C385" s="4">
        <f t="shared" si="30"/>
        <v>-127968017.08984911</v>
      </c>
      <c r="D385" s="4">
        <f t="shared" si="31"/>
        <v>5857899.4043183839</v>
      </c>
      <c r="E385" s="4">
        <f t="shared" si="32"/>
        <v>133825916.49416749</v>
      </c>
      <c r="F385" s="4">
        <f t="shared" si="33"/>
        <v>0</v>
      </c>
      <c r="G385" s="4">
        <f t="shared" si="34"/>
        <v>0</v>
      </c>
      <c r="H385" s="6">
        <f t="shared" si="35"/>
        <v>-12930627625.479078</v>
      </c>
    </row>
    <row r="386" spans="2:8" x14ac:dyDescent="0.3">
      <c r="B386">
        <v>376</v>
      </c>
      <c r="C386" s="4">
        <f t="shared" si="30"/>
        <v>-129306276.25479078</v>
      </c>
      <c r="D386" s="4">
        <f t="shared" si="31"/>
        <v>5857899.4043183839</v>
      </c>
      <c r="E386" s="4">
        <f t="shared" si="32"/>
        <v>135164175.65910918</v>
      </c>
      <c r="F386" s="4">
        <f t="shared" si="33"/>
        <v>0</v>
      </c>
      <c r="G386" s="4">
        <f t="shared" si="34"/>
        <v>0</v>
      </c>
      <c r="H386" s="6">
        <f t="shared" si="35"/>
        <v>-13065791801.138187</v>
      </c>
    </row>
    <row r="387" spans="2:8" x14ac:dyDescent="0.3">
      <c r="B387">
        <v>377</v>
      </c>
      <c r="C387" s="4">
        <f t="shared" si="30"/>
        <v>-130657918.01138188</v>
      </c>
      <c r="D387" s="4">
        <f t="shared" si="31"/>
        <v>5857899.4043183839</v>
      </c>
      <c r="E387" s="4">
        <f t="shared" si="32"/>
        <v>136515817.41570026</v>
      </c>
      <c r="F387" s="4">
        <f t="shared" si="33"/>
        <v>0</v>
      </c>
      <c r="G387" s="4">
        <f t="shared" si="34"/>
        <v>0</v>
      </c>
      <c r="H387" s="6">
        <f t="shared" si="35"/>
        <v>-13202307618.553888</v>
      </c>
    </row>
    <row r="388" spans="2:8" x14ac:dyDescent="0.3">
      <c r="B388">
        <v>378</v>
      </c>
      <c r="C388" s="4">
        <f t="shared" si="30"/>
        <v>-132023076.18553889</v>
      </c>
      <c r="D388" s="4">
        <f t="shared" si="31"/>
        <v>5857899.4043183839</v>
      </c>
      <c r="E388" s="4">
        <f t="shared" si="32"/>
        <v>142880975.58985728</v>
      </c>
      <c r="F388" s="4">
        <f t="shared" si="33"/>
        <v>5000000</v>
      </c>
      <c r="G388" s="4">
        <f t="shared" si="34"/>
        <v>0</v>
      </c>
      <c r="H388" s="6">
        <f t="shared" si="35"/>
        <v>-13345188594.143745</v>
      </c>
    </row>
    <row r="389" spans="2:8" x14ac:dyDescent="0.3">
      <c r="B389">
        <v>379</v>
      </c>
      <c r="C389" s="4">
        <f t="shared" si="30"/>
        <v>-133451885.94143745</v>
      </c>
      <c r="D389" s="4">
        <f t="shared" si="31"/>
        <v>5857899.4043183839</v>
      </c>
      <c r="E389" s="4">
        <f t="shared" si="32"/>
        <v>139309785.34575585</v>
      </c>
      <c r="F389" s="4">
        <f t="shared" si="33"/>
        <v>0</v>
      </c>
      <c r="G389" s="4">
        <f t="shared" si="34"/>
        <v>0</v>
      </c>
      <c r="H389" s="6">
        <f t="shared" si="35"/>
        <v>-13484498379.489502</v>
      </c>
    </row>
    <row r="390" spans="2:8" x14ac:dyDescent="0.3">
      <c r="B390">
        <v>380</v>
      </c>
      <c r="C390" s="4">
        <f t="shared" si="30"/>
        <v>-134844983.79489502</v>
      </c>
      <c r="D390" s="4">
        <f t="shared" si="31"/>
        <v>5857899.4043183839</v>
      </c>
      <c r="E390" s="4">
        <f t="shared" si="32"/>
        <v>140702883.19921342</v>
      </c>
      <c r="F390" s="4">
        <f t="shared" si="33"/>
        <v>0</v>
      </c>
      <c r="G390" s="4">
        <f t="shared" si="34"/>
        <v>0</v>
      </c>
      <c r="H390" s="6">
        <f t="shared" si="35"/>
        <v>-13625201262.688715</v>
      </c>
    </row>
    <row r="391" spans="2:8" x14ac:dyDescent="0.3">
      <c r="B391">
        <v>381</v>
      </c>
      <c r="C391" s="4">
        <f t="shared" si="30"/>
        <v>-136252012.62688714</v>
      </c>
      <c r="D391" s="4">
        <f t="shared" si="31"/>
        <v>5857899.4043183839</v>
      </c>
      <c r="E391" s="4">
        <f t="shared" si="32"/>
        <v>142109912.03120553</v>
      </c>
      <c r="F391" s="4">
        <f t="shared" si="33"/>
        <v>0</v>
      </c>
      <c r="G391" s="4">
        <f t="shared" si="34"/>
        <v>0</v>
      </c>
      <c r="H391" s="6">
        <f t="shared" si="35"/>
        <v>-13767311174.719921</v>
      </c>
    </row>
    <row r="392" spans="2:8" x14ac:dyDescent="0.3">
      <c r="B392">
        <v>382</v>
      </c>
      <c r="C392" s="4">
        <f t="shared" si="30"/>
        <v>-137673111.74719921</v>
      </c>
      <c r="D392" s="4">
        <f t="shared" si="31"/>
        <v>5857899.4043183839</v>
      </c>
      <c r="E392" s="4">
        <f t="shared" si="32"/>
        <v>143531011.1515176</v>
      </c>
      <c r="F392" s="4">
        <f t="shared" si="33"/>
        <v>0</v>
      </c>
      <c r="G392" s="4">
        <f t="shared" si="34"/>
        <v>0</v>
      </c>
      <c r="H392" s="6">
        <f t="shared" si="35"/>
        <v>-13910842185.871439</v>
      </c>
    </row>
    <row r="393" spans="2:8" x14ac:dyDescent="0.3">
      <c r="B393">
        <v>383</v>
      </c>
      <c r="C393" s="4">
        <f t="shared" si="30"/>
        <v>-139108421.8587144</v>
      </c>
      <c r="D393" s="4">
        <f t="shared" si="31"/>
        <v>5857899.4043183839</v>
      </c>
      <c r="E393" s="4">
        <f t="shared" si="32"/>
        <v>144966321.26303279</v>
      </c>
      <c r="F393" s="4">
        <f t="shared" si="33"/>
        <v>0</v>
      </c>
      <c r="G393" s="4">
        <f t="shared" si="34"/>
        <v>0</v>
      </c>
      <c r="H393" s="6">
        <f t="shared" si="35"/>
        <v>-14055808507.134472</v>
      </c>
    </row>
    <row r="394" spans="2:8" x14ac:dyDescent="0.3">
      <c r="B394">
        <v>384</v>
      </c>
      <c r="C394" s="4">
        <f t="shared" si="30"/>
        <v>-140558085.07134473</v>
      </c>
      <c r="D394" s="4">
        <f t="shared" si="31"/>
        <v>5857899.4043183839</v>
      </c>
      <c r="E394" s="4">
        <f t="shared" si="32"/>
        <v>151415984.47566313</v>
      </c>
      <c r="F394" s="4">
        <f t="shared" si="33"/>
        <v>5000000</v>
      </c>
      <c r="G394" s="4">
        <f t="shared" si="34"/>
        <v>0</v>
      </c>
      <c r="H394" s="6">
        <f t="shared" si="35"/>
        <v>-14207224491.610134</v>
      </c>
    </row>
    <row r="395" spans="2:8" x14ac:dyDescent="0.3">
      <c r="B395">
        <v>385</v>
      </c>
      <c r="C395" s="4">
        <f t="shared" si="30"/>
        <v>-142072244.91610134</v>
      </c>
      <c r="D395" s="4">
        <f t="shared" si="31"/>
        <v>5857899.4043183839</v>
      </c>
      <c r="E395" s="4">
        <f t="shared" si="32"/>
        <v>147930144.32041973</v>
      </c>
      <c r="F395" s="4">
        <f t="shared" si="33"/>
        <v>0</v>
      </c>
      <c r="G395" s="4">
        <f t="shared" si="34"/>
        <v>0</v>
      </c>
      <c r="H395" s="6">
        <f t="shared" si="35"/>
        <v>-14355154635.930553</v>
      </c>
    </row>
    <row r="396" spans="2:8" x14ac:dyDescent="0.3">
      <c r="B396">
        <v>386</v>
      </c>
      <c r="C396" s="4">
        <f t="shared" ref="C396:C459" si="36">H395*$C$5</f>
        <v>-143551546.35930553</v>
      </c>
      <c r="D396" s="4">
        <f t="shared" ref="D396:D459" si="37">IF(B396&lt;=$C$6,0,$C$7)</f>
        <v>5857899.4043183839</v>
      </c>
      <c r="E396" s="4">
        <f t="shared" ref="E396:E459" si="38">D396-C396+F396+G396</f>
        <v>149409445.76362392</v>
      </c>
      <c r="F396" s="4">
        <f t="shared" ref="F396:F459" si="39">IF(MOD(B396,$F$3)=0,$F$2,0)</f>
        <v>0</v>
      </c>
      <c r="G396" s="4">
        <f t="shared" ref="G396:G459" si="40">IF(B396=$C$3,$F$4*$C$2,0)</f>
        <v>0</v>
      </c>
      <c r="H396" s="6">
        <f t="shared" ref="H396:H459" si="41">H395-E396</f>
        <v>-14504564081.694178</v>
      </c>
    </row>
    <row r="397" spans="2:8" x14ac:dyDescent="0.3">
      <c r="B397">
        <v>387</v>
      </c>
      <c r="C397" s="4">
        <f t="shared" si="36"/>
        <v>-145045640.81694177</v>
      </c>
      <c r="D397" s="4">
        <f t="shared" si="37"/>
        <v>5857899.4043183839</v>
      </c>
      <c r="E397" s="4">
        <f t="shared" si="38"/>
        <v>150903540.22126016</v>
      </c>
      <c r="F397" s="4">
        <f t="shared" si="39"/>
        <v>0</v>
      </c>
      <c r="G397" s="4">
        <f t="shared" si="40"/>
        <v>0</v>
      </c>
      <c r="H397" s="6">
        <f t="shared" si="41"/>
        <v>-14655467621.915438</v>
      </c>
    </row>
    <row r="398" spans="2:8" x14ac:dyDescent="0.3">
      <c r="B398">
        <v>388</v>
      </c>
      <c r="C398" s="4">
        <f t="shared" si="36"/>
        <v>-146554676.21915439</v>
      </c>
      <c r="D398" s="4">
        <f t="shared" si="37"/>
        <v>5857899.4043183839</v>
      </c>
      <c r="E398" s="4">
        <f t="shared" si="38"/>
        <v>152412575.62347278</v>
      </c>
      <c r="F398" s="4">
        <f t="shared" si="39"/>
        <v>0</v>
      </c>
      <c r="G398" s="4">
        <f t="shared" si="40"/>
        <v>0</v>
      </c>
      <c r="H398" s="6">
        <f t="shared" si="41"/>
        <v>-14807880197.53891</v>
      </c>
    </row>
    <row r="399" spans="2:8" x14ac:dyDescent="0.3">
      <c r="B399">
        <v>389</v>
      </c>
      <c r="C399" s="4">
        <f t="shared" si="36"/>
        <v>-148078801.97538909</v>
      </c>
      <c r="D399" s="4">
        <f t="shared" si="37"/>
        <v>5857899.4043183839</v>
      </c>
      <c r="E399" s="4">
        <f t="shared" si="38"/>
        <v>153936701.37970749</v>
      </c>
      <c r="F399" s="4">
        <f t="shared" si="39"/>
        <v>0</v>
      </c>
      <c r="G399" s="4">
        <f t="shared" si="40"/>
        <v>0</v>
      </c>
      <c r="H399" s="6">
        <f t="shared" si="41"/>
        <v>-14961816898.918617</v>
      </c>
    </row>
    <row r="400" spans="2:8" x14ac:dyDescent="0.3">
      <c r="B400">
        <v>390</v>
      </c>
      <c r="C400" s="4">
        <f t="shared" si="36"/>
        <v>-149618168.98918617</v>
      </c>
      <c r="D400" s="4">
        <f t="shared" si="37"/>
        <v>5857899.4043183839</v>
      </c>
      <c r="E400" s="4">
        <f t="shared" si="38"/>
        <v>160476068.39350456</v>
      </c>
      <c r="F400" s="4">
        <f t="shared" si="39"/>
        <v>5000000</v>
      </c>
      <c r="G400" s="4">
        <f t="shared" si="40"/>
        <v>0</v>
      </c>
      <c r="H400" s="6">
        <f t="shared" si="41"/>
        <v>-15122292967.312122</v>
      </c>
    </row>
    <row r="401" spans="2:8" x14ac:dyDescent="0.3">
      <c r="B401">
        <v>391</v>
      </c>
      <c r="C401" s="4">
        <f t="shared" si="36"/>
        <v>-151222929.67312121</v>
      </c>
      <c r="D401" s="4">
        <f t="shared" si="37"/>
        <v>5857899.4043183839</v>
      </c>
      <c r="E401" s="4">
        <f t="shared" si="38"/>
        <v>157080829.07743961</v>
      </c>
      <c r="F401" s="4">
        <f t="shared" si="39"/>
        <v>0</v>
      </c>
      <c r="G401" s="4">
        <f t="shared" si="40"/>
        <v>0</v>
      </c>
      <c r="H401" s="6">
        <f t="shared" si="41"/>
        <v>-15279373796.389563</v>
      </c>
    </row>
    <row r="402" spans="2:8" x14ac:dyDescent="0.3">
      <c r="B402">
        <v>392</v>
      </c>
      <c r="C402" s="4">
        <f t="shared" si="36"/>
        <v>-152793737.96389562</v>
      </c>
      <c r="D402" s="4">
        <f t="shared" si="37"/>
        <v>5857899.4043183839</v>
      </c>
      <c r="E402" s="4">
        <f t="shared" si="38"/>
        <v>158651637.36821401</v>
      </c>
      <c r="F402" s="4">
        <f t="shared" si="39"/>
        <v>0</v>
      </c>
      <c r="G402" s="4">
        <f t="shared" si="40"/>
        <v>0</v>
      </c>
      <c r="H402" s="6">
        <f t="shared" si="41"/>
        <v>-15438025433.757776</v>
      </c>
    </row>
    <row r="403" spans="2:8" x14ac:dyDescent="0.3">
      <c r="B403">
        <v>393</v>
      </c>
      <c r="C403" s="4">
        <f t="shared" si="36"/>
        <v>-154380254.33757776</v>
      </c>
      <c r="D403" s="4">
        <f t="shared" si="37"/>
        <v>5857899.4043183839</v>
      </c>
      <c r="E403" s="4">
        <f t="shared" si="38"/>
        <v>160238153.74189615</v>
      </c>
      <c r="F403" s="4">
        <f t="shared" si="39"/>
        <v>0</v>
      </c>
      <c r="G403" s="4">
        <f t="shared" si="40"/>
        <v>0</v>
      </c>
      <c r="H403" s="6">
        <f t="shared" si="41"/>
        <v>-15598263587.499672</v>
      </c>
    </row>
    <row r="404" spans="2:8" x14ac:dyDescent="0.3">
      <c r="B404">
        <v>394</v>
      </c>
      <c r="C404" s="4">
        <f t="shared" si="36"/>
        <v>-155982635.87499672</v>
      </c>
      <c r="D404" s="4">
        <f t="shared" si="37"/>
        <v>5857899.4043183839</v>
      </c>
      <c r="E404" s="4">
        <f t="shared" si="38"/>
        <v>161840535.27931511</v>
      </c>
      <c r="F404" s="4">
        <f t="shared" si="39"/>
        <v>0</v>
      </c>
      <c r="G404" s="4">
        <f t="shared" si="40"/>
        <v>0</v>
      </c>
      <c r="H404" s="6">
        <f t="shared" si="41"/>
        <v>-15760104122.778988</v>
      </c>
    </row>
    <row r="405" spans="2:8" x14ac:dyDescent="0.3">
      <c r="B405">
        <v>395</v>
      </c>
      <c r="C405" s="4">
        <f t="shared" si="36"/>
        <v>-157601041.22778988</v>
      </c>
      <c r="D405" s="4">
        <f t="shared" si="37"/>
        <v>5857899.4043183839</v>
      </c>
      <c r="E405" s="4">
        <f t="shared" si="38"/>
        <v>163458940.63210827</v>
      </c>
      <c r="F405" s="4">
        <f t="shared" si="39"/>
        <v>0</v>
      </c>
      <c r="G405" s="4">
        <f t="shared" si="40"/>
        <v>0</v>
      </c>
      <c r="H405" s="6">
        <f t="shared" si="41"/>
        <v>-15923563063.411097</v>
      </c>
    </row>
    <row r="406" spans="2:8" x14ac:dyDescent="0.3">
      <c r="B406">
        <v>396</v>
      </c>
      <c r="C406" s="4">
        <f t="shared" si="36"/>
        <v>-159235630.63411096</v>
      </c>
      <c r="D406" s="4">
        <f t="shared" si="37"/>
        <v>5857899.4043183839</v>
      </c>
      <c r="E406" s="4">
        <f t="shared" si="38"/>
        <v>170093530.03842935</v>
      </c>
      <c r="F406" s="4">
        <f t="shared" si="39"/>
        <v>5000000</v>
      </c>
      <c r="G406" s="4">
        <f t="shared" si="40"/>
        <v>0</v>
      </c>
      <c r="H406" s="6">
        <f t="shared" si="41"/>
        <v>-16093656593.449526</v>
      </c>
    </row>
    <row r="407" spans="2:8" x14ac:dyDescent="0.3">
      <c r="B407">
        <v>397</v>
      </c>
      <c r="C407" s="4">
        <f t="shared" si="36"/>
        <v>-160936565.93449527</v>
      </c>
      <c r="D407" s="4">
        <f t="shared" si="37"/>
        <v>5857899.4043183839</v>
      </c>
      <c r="E407" s="4">
        <f t="shared" si="38"/>
        <v>166794465.33881366</v>
      </c>
      <c r="F407" s="4">
        <f t="shared" si="39"/>
        <v>0</v>
      </c>
      <c r="G407" s="4">
        <f t="shared" si="40"/>
        <v>0</v>
      </c>
      <c r="H407" s="6">
        <f t="shared" si="41"/>
        <v>-16260451058.78834</v>
      </c>
    </row>
    <row r="408" spans="2:8" x14ac:dyDescent="0.3">
      <c r="B408">
        <v>398</v>
      </c>
      <c r="C408" s="4">
        <f t="shared" si="36"/>
        <v>-162604510.58788341</v>
      </c>
      <c r="D408" s="4">
        <f t="shared" si="37"/>
        <v>5857899.4043183839</v>
      </c>
      <c r="E408" s="4">
        <f t="shared" si="38"/>
        <v>168462409.99220181</v>
      </c>
      <c r="F408" s="4">
        <f t="shared" si="39"/>
        <v>0</v>
      </c>
      <c r="G408" s="4">
        <f t="shared" si="40"/>
        <v>0</v>
      </c>
      <c r="H408" s="6">
        <f t="shared" si="41"/>
        <v>-16428913468.78054</v>
      </c>
    </row>
    <row r="409" spans="2:8" x14ac:dyDescent="0.3">
      <c r="B409">
        <v>399</v>
      </c>
      <c r="C409" s="4">
        <f t="shared" si="36"/>
        <v>-164289134.68780541</v>
      </c>
      <c r="D409" s="4">
        <f t="shared" si="37"/>
        <v>5857899.4043183839</v>
      </c>
      <c r="E409" s="4">
        <f t="shared" si="38"/>
        <v>170147034.09212381</v>
      </c>
      <c r="F409" s="4">
        <f t="shared" si="39"/>
        <v>0</v>
      </c>
      <c r="G409" s="4">
        <f t="shared" si="40"/>
        <v>0</v>
      </c>
      <c r="H409" s="6">
        <f t="shared" si="41"/>
        <v>-16599060502.872663</v>
      </c>
    </row>
    <row r="410" spans="2:8" x14ac:dyDescent="0.3">
      <c r="B410">
        <v>400</v>
      </c>
      <c r="C410" s="4">
        <f t="shared" si="36"/>
        <v>-165990605.02872664</v>
      </c>
      <c r="D410" s="4">
        <f t="shared" si="37"/>
        <v>5857899.4043183839</v>
      </c>
      <c r="E410" s="4">
        <f t="shared" si="38"/>
        <v>171848504.43304503</v>
      </c>
      <c r="F410" s="4">
        <f t="shared" si="39"/>
        <v>0</v>
      </c>
      <c r="G410" s="4">
        <f t="shared" si="40"/>
        <v>0</v>
      </c>
      <c r="H410" s="6">
        <f t="shared" si="41"/>
        <v>-16770909007.305708</v>
      </c>
    </row>
    <row r="411" spans="2:8" x14ac:dyDescent="0.3">
      <c r="B411">
        <v>401</v>
      </c>
      <c r="C411" s="4">
        <f t="shared" si="36"/>
        <v>-167709090.07305709</v>
      </c>
      <c r="D411" s="4">
        <f t="shared" si="37"/>
        <v>5857899.4043183839</v>
      </c>
      <c r="E411" s="4">
        <f t="shared" si="38"/>
        <v>173566989.47737548</v>
      </c>
      <c r="F411" s="4">
        <f t="shared" si="39"/>
        <v>0</v>
      </c>
      <c r="G411" s="4">
        <f t="shared" si="40"/>
        <v>0</v>
      </c>
      <c r="H411" s="6">
        <f t="shared" si="41"/>
        <v>-16944475996.783083</v>
      </c>
    </row>
    <row r="412" spans="2:8" x14ac:dyDescent="0.3">
      <c r="B412">
        <v>402</v>
      </c>
      <c r="C412" s="4">
        <f t="shared" si="36"/>
        <v>-169444759.96783084</v>
      </c>
      <c r="D412" s="4">
        <f t="shared" si="37"/>
        <v>5857899.4043183839</v>
      </c>
      <c r="E412" s="4">
        <f t="shared" si="38"/>
        <v>180302659.37214923</v>
      </c>
      <c r="F412" s="4">
        <f t="shared" si="39"/>
        <v>5000000</v>
      </c>
      <c r="G412" s="4">
        <f t="shared" si="40"/>
        <v>0</v>
      </c>
      <c r="H412" s="6">
        <f t="shared" si="41"/>
        <v>-17124778656.155231</v>
      </c>
    </row>
    <row r="413" spans="2:8" x14ac:dyDescent="0.3">
      <c r="B413">
        <v>403</v>
      </c>
      <c r="C413" s="4">
        <f t="shared" si="36"/>
        <v>-171247786.56155232</v>
      </c>
      <c r="D413" s="4">
        <f t="shared" si="37"/>
        <v>5857899.4043183839</v>
      </c>
      <c r="E413" s="4">
        <f t="shared" si="38"/>
        <v>177105685.96587071</v>
      </c>
      <c r="F413" s="4">
        <f t="shared" si="39"/>
        <v>0</v>
      </c>
      <c r="G413" s="4">
        <f t="shared" si="40"/>
        <v>0</v>
      </c>
      <c r="H413" s="6">
        <f t="shared" si="41"/>
        <v>-17301884342.121101</v>
      </c>
    </row>
    <row r="414" spans="2:8" x14ac:dyDescent="0.3">
      <c r="B414">
        <v>404</v>
      </c>
      <c r="C414" s="4">
        <f t="shared" si="36"/>
        <v>-173018843.421211</v>
      </c>
      <c r="D414" s="4">
        <f t="shared" si="37"/>
        <v>5857899.4043183839</v>
      </c>
      <c r="E414" s="4">
        <f t="shared" si="38"/>
        <v>178876742.8255294</v>
      </c>
      <c r="F414" s="4">
        <f t="shared" si="39"/>
        <v>0</v>
      </c>
      <c r="G414" s="4">
        <f t="shared" si="40"/>
        <v>0</v>
      </c>
      <c r="H414" s="6">
        <f t="shared" si="41"/>
        <v>-17480761084.946632</v>
      </c>
    </row>
    <row r="415" spans="2:8" x14ac:dyDescent="0.3">
      <c r="B415">
        <v>405</v>
      </c>
      <c r="C415" s="4">
        <f t="shared" si="36"/>
        <v>-174807610.84946632</v>
      </c>
      <c r="D415" s="4">
        <f t="shared" si="37"/>
        <v>5857899.4043183839</v>
      </c>
      <c r="E415" s="4">
        <f t="shared" si="38"/>
        <v>180665510.25378472</v>
      </c>
      <c r="F415" s="4">
        <f t="shared" si="39"/>
        <v>0</v>
      </c>
      <c r="G415" s="4">
        <f t="shared" si="40"/>
        <v>0</v>
      </c>
      <c r="H415" s="6">
        <f t="shared" si="41"/>
        <v>-17661426595.200417</v>
      </c>
    </row>
    <row r="416" spans="2:8" x14ac:dyDescent="0.3">
      <c r="B416">
        <v>406</v>
      </c>
      <c r="C416" s="4">
        <f t="shared" si="36"/>
        <v>-176614265.95200416</v>
      </c>
      <c r="D416" s="4">
        <f t="shared" si="37"/>
        <v>5857899.4043183839</v>
      </c>
      <c r="E416" s="4">
        <f t="shared" si="38"/>
        <v>182472165.35632256</v>
      </c>
      <c r="F416" s="4">
        <f t="shared" si="39"/>
        <v>0</v>
      </c>
      <c r="G416" s="4">
        <f t="shared" si="40"/>
        <v>0</v>
      </c>
      <c r="H416" s="6">
        <f t="shared" si="41"/>
        <v>-17843898760.55674</v>
      </c>
    </row>
    <row r="417" spans="2:8" x14ac:dyDescent="0.3">
      <c r="B417">
        <v>407</v>
      </c>
      <c r="C417" s="4">
        <f t="shared" si="36"/>
        <v>-178438987.6055674</v>
      </c>
      <c r="D417" s="4">
        <f t="shared" si="37"/>
        <v>5857899.4043183839</v>
      </c>
      <c r="E417" s="4">
        <f t="shared" si="38"/>
        <v>184296887.00988579</v>
      </c>
      <c r="F417" s="4">
        <f t="shared" si="39"/>
        <v>0</v>
      </c>
      <c r="G417" s="4">
        <f t="shared" si="40"/>
        <v>0</v>
      </c>
      <c r="H417" s="6">
        <f t="shared" si="41"/>
        <v>-18028195647.566628</v>
      </c>
    </row>
    <row r="418" spans="2:8" x14ac:dyDescent="0.3">
      <c r="B418">
        <v>408</v>
      </c>
      <c r="C418" s="4">
        <f t="shared" si="36"/>
        <v>-180281956.47566628</v>
      </c>
      <c r="D418" s="4">
        <f t="shared" si="37"/>
        <v>5857899.4043183839</v>
      </c>
      <c r="E418" s="4">
        <f t="shared" si="38"/>
        <v>191139855.87998468</v>
      </c>
      <c r="F418" s="4">
        <f t="shared" si="39"/>
        <v>5000000</v>
      </c>
      <c r="G418" s="4">
        <f t="shared" si="40"/>
        <v>0</v>
      </c>
      <c r="H418" s="6">
        <f t="shared" si="41"/>
        <v>-18219335503.446613</v>
      </c>
    </row>
    <row r="419" spans="2:8" x14ac:dyDescent="0.3">
      <c r="B419">
        <v>409</v>
      </c>
      <c r="C419" s="4">
        <f t="shared" si="36"/>
        <v>-182193355.03446615</v>
      </c>
      <c r="D419" s="4">
        <f t="shared" si="37"/>
        <v>5857899.4043183839</v>
      </c>
      <c r="E419" s="4">
        <f t="shared" si="38"/>
        <v>188051254.43878454</v>
      </c>
      <c r="F419" s="4">
        <f t="shared" si="39"/>
        <v>0</v>
      </c>
      <c r="G419" s="4">
        <f t="shared" si="40"/>
        <v>0</v>
      </c>
      <c r="H419" s="6">
        <f t="shared" si="41"/>
        <v>-18407386757.885399</v>
      </c>
    </row>
    <row r="420" spans="2:8" x14ac:dyDescent="0.3">
      <c r="B420">
        <v>410</v>
      </c>
      <c r="C420" s="4">
        <f t="shared" si="36"/>
        <v>-184073867.57885399</v>
      </c>
      <c r="D420" s="4">
        <f t="shared" si="37"/>
        <v>5857899.4043183839</v>
      </c>
      <c r="E420" s="4">
        <f t="shared" si="38"/>
        <v>189931766.98317239</v>
      </c>
      <c r="F420" s="4">
        <f t="shared" si="39"/>
        <v>0</v>
      </c>
      <c r="G420" s="4">
        <f t="shared" si="40"/>
        <v>0</v>
      </c>
      <c r="H420" s="6">
        <f t="shared" si="41"/>
        <v>-18597318524.868572</v>
      </c>
    </row>
    <row r="421" spans="2:8" x14ac:dyDescent="0.3">
      <c r="B421">
        <v>411</v>
      </c>
      <c r="C421" s="4">
        <f t="shared" si="36"/>
        <v>-185973185.24868572</v>
      </c>
      <c r="D421" s="4">
        <f t="shared" si="37"/>
        <v>5857899.4043183839</v>
      </c>
      <c r="E421" s="4">
        <f t="shared" si="38"/>
        <v>191831084.65300411</v>
      </c>
      <c r="F421" s="4">
        <f t="shared" si="39"/>
        <v>0</v>
      </c>
      <c r="G421" s="4">
        <f t="shared" si="40"/>
        <v>0</v>
      </c>
      <c r="H421" s="6">
        <f t="shared" si="41"/>
        <v>-18789149609.521576</v>
      </c>
    </row>
    <row r="422" spans="2:8" x14ac:dyDescent="0.3">
      <c r="B422">
        <v>412</v>
      </c>
      <c r="C422" s="4">
        <f t="shared" si="36"/>
        <v>-187891496.09521577</v>
      </c>
      <c r="D422" s="4">
        <f t="shared" si="37"/>
        <v>5857899.4043183839</v>
      </c>
      <c r="E422" s="4">
        <f t="shared" si="38"/>
        <v>193749395.49953416</v>
      </c>
      <c r="F422" s="4">
        <f t="shared" si="39"/>
        <v>0</v>
      </c>
      <c r="G422" s="4">
        <f t="shared" si="40"/>
        <v>0</v>
      </c>
      <c r="H422" s="6">
        <f t="shared" si="41"/>
        <v>-18982899005.021111</v>
      </c>
    </row>
    <row r="423" spans="2:8" x14ac:dyDescent="0.3">
      <c r="B423">
        <v>413</v>
      </c>
      <c r="C423" s="4">
        <f t="shared" si="36"/>
        <v>-189828990.0502111</v>
      </c>
      <c r="D423" s="4">
        <f t="shared" si="37"/>
        <v>5857899.4043183839</v>
      </c>
      <c r="E423" s="4">
        <f t="shared" si="38"/>
        <v>195686889.45452949</v>
      </c>
      <c r="F423" s="4">
        <f t="shared" si="39"/>
        <v>0</v>
      </c>
      <c r="G423" s="4">
        <f t="shared" si="40"/>
        <v>0</v>
      </c>
      <c r="H423" s="6">
        <f t="shared" si="41"/>
        <v>-19178585894.475639</v>
      </c>
    </row>
    <row r="424" spans="2:8" x14ac:dyDescent="0.3">
      <c r="B424">
        <v>414</v>
      </c>
      <c r="C424" s="4">
        <f t="shared" si="36"/>
        <v>-191785858.94475639</v>
      </c>
      <c r="D424" s="4">
        <f t="shared" si="37"/>
        <v>5857899.4043183839</v>
      </c>
      <c r="E424" s="4">
        <f t="shared" si="38"/>
        <v>202643758.34907478</v>
      </c>
      <c r="F424" s="4">
        <f t="shared" si="39"/>
        <v>5000000</v>
      </c>
      <c r="G424" s="4">
        <f t="shared" si="40"/>
        <v>0</v>
      </c>
      <c r="H424" s="6">
        <f t="shared" si="41"/>
        <v>-19381229652.824715</v>
      </c>
    </row>
    <row r="425" spans="2:8" x14ac:dyDescent="0.3">
      <c r="B425">
        <v>415</v>
      </c>
      <c r="C425" s="4">
        <f t="shared" si="36"/>
        <v>-193812296.52824715</v>
      </c>
      <c r="D425" s="4">
        <f t="shared" si="37"/>
        <v>5857899.4043183839</v>
      </c>
      <c r="E425" s="4">
        <f t="shared" si="38"/>
        <v>199670195.93256554</v>
      </c>
      <c r="F425" s="4">
        <f t="shared" si="39"/>
        <v>0</v>
      </c>
      <c r="G425" s="4">
        <f t="shared" si="40"/>
        <v>0</v>
      </c>
      <c r="H425" s="6">
        <f t="shared" si="41"/>
        <v>-19580899848.757278</v>
      </c>
    </row>
    <row r="426" spans="2:8" x14ac:dyDescent="0.3">
      <c r="B426">
        <v>416</v>
      </c>
      <c r="C426" s="4">
        <f t="shared" si="36"/>
        <v>-195808998.48757279</v>
      </c>
      <c r="D426" s="4">
        <f t="shared" si="37"/>
        <v>5857899.4043183839</v>
      </c>
      <c r="E426" s="4">
        <f t="shared" si="38"/>
        <v>201666897.89189118</v>
      </c>
      <c r="F426" s="4">
        <f t="shared" si="39"/>
        <v>0</v>
      </c>
      <c r="G426" s="4">
        <f t="shared" si="40"/>
        <v>0</v>
      </c>
      <c r="H426" s="6">
        <f t="shared" si="41"/>
        <v>-19782566746.64917</v>
      </c>
    </row>
    <row r="427" spans="2:8" x14ac:dyDescent="0.3">
      <c r="B427">
        <v>417</v>
      </c>
      <c r="C427" s="4">
        <f t="shared" si="36"/>
        <v>-197825667.4664917</v>
      </c>
      <c r="D427" s="4">
        <f t="shared" si="37"/>
        <v>5857899.4043183839</v>
      </c>
      <c r="E427" s="4">
        <f t="shared" si="38"/>
        <v>203683566.87081009</v>
      </c>
      <c r="F427" s="4">
        <f t="shared" si="39"/>
        <v>0</v>
      </c>
      <c r="G427" s="4">
        <f t="shared" si="40"/>
        <v>0</v>
      </c>
      <c r="H427" s="6">
        <f t="shared" si="41"/>
        <v>-19986250313.519981</v>
      </c>
    </row>
    <row r="428" spans="2:8" x14ac:dyDescent="0.3">
      <c r="B428">
        <v>418</v>
      </c>
      <c r="C428" s="4">
        <f t="shared" si="36"/>
        <v>-199862503.13519982</v>
      </c>
      <c r="D428" s="4">
        <f t="shared" si="37"/>
        <v>5857899.4043183839</v>
      </c>
      <c r="E428" s="4">
        <f t="shared" si="38"/>
        <v>205720402.53951821</v>
      </c>
      <c r="F428" s="4">
        <f t="shared" si="39"/>
        <v>0</v>
      </c>
      <c r="G428" s="4">
        <f t="shared" si="40"/>
        <v>0</v>
      </c>
      <c r="H428" s="6">
        <f t="shared" si="41"/>
        <v>-20191970716.059498</v>
      </c>
    </row>
    <row r="429" spans="2:8" x14ac:dyDescent="0.3">
      <c r="B429">
        <v>419</v>
      </c>
      <c r="C429" s="4">
        <f t="shared" si="36"/>
        <v>-201919707.16059497</v>
      </c>
      <c r="D429" s="4">
        <f t="shared" si="37"/>
        <v>5857899.4043183839</v>
      </c>
      <c r="E429" s="4">
        <f t="shared" si="38"/>
        <v>207777606.56491336</v>
      </c>
      <c r="F429" s="4">
        <f t="shared" si="39"/>
        <v>0</v>
      </c>
      <c r="G429" s="4">
        <f t="shared" si="40"/>
        <v>0</v>
      </c>
      <c r="H429" s="6">
        <f t="shared" si="41"/>
        <v>-20399748322.624413</v>
      </c>
    </row>
    <row r="430" spans="2:8" x14ac:dyDescent="0.3">
      <c r="B430">
        <v>420</v>
      </c>
      <c r="C430" s="4">
        <f t="shared" si="36"/>
        <v>-203997483.22624412</v>
      </c>
      <c r="D430" s="4">
        <f t="shared" si="37"/>
        <v>5857899.4043183839</v>
      </c>
      <c r="E430" s="4">
        <f t="shared" si="38"/>
        <v>214855382.63056251</v>
      </c>
      <c r="F430" s="4">
        <f t="shared" si="39"/>
        <v>5000000</v>
      </c>
      <c r="G430" s="4">
        <f t="shared" si="40"/>
        <v>0</v>
      </c>
      <c r="H430" s="6">
        <f t="shared" si="41"/>
        <v>-20614603705.254974</v>
      </c>
    </row>
    <row r="431" spans="2:8" x14ac:dyDescent="0.3">
      <c r="B431">
        <v>421</v>
      </c>
      <c r="C431" s="4">
        <f t="shared" si="36"/>
        <v>-206146037.05254975</v>
      </c>
      <c r="D431" s="4">
        <f t="shared" si="37"/>
        <v>5857899.4043183839</v>
      </c>
      <c r="E431" s="4">
        <f t="shared" si="38"/>
        <v>212003936.45686814</v>
      </c>
      <c r="F431" s="4">
        <f t="shared" si="39"/>
        <v>0</v>
      </c>
      <c r="G431" s="4">
        <f t="shared" si="40"/>
        <v>0</v>
      </c>
      <c r="H431" s="6">
        <f t="shared" si="41"/>
        <v>-20826607641.711842</v>
      </c>
    </row>
    <row r="432" spans="2:8" x14ac:dyDescent="0.3">
      <c r="B432">
        <v>422</v>
      </c>
      <c r="C432" s="4">
        <f t="shared" si="36"/>
        <v>-208266076.41711843</v>
      </c>
      <c r="D432" s="4">
        <f t="shared" si="37"/>
        <v>5857899.4043183839</v>
      </c>
      <c r="E432" s="4">
        <f t="shared" si="38"/>
        <v>214123975.82143682</v>
      </c>
      <c r="F432" s="4">
        <f t="shared" si="39"/>
        <v>0</v>
      </c>
      <c r="G432" s="4">
        <f t="shared" si="40"/>
        <v>0</v>
      </c>
      <c r="H432" s="6">
        <f t="shared" si="41"/>
        <v>-21040731617.533279</v>
      </c>
    </row>
    <row r="433" spans="2:8" x14ac:dyDescent="0.3">
      <c r="B433">
        <v>423</v>
      </c>
      <c r="C433" s="4">
        <f t="shared" si="36"/>
        <v>-210407316.17533278</v>
      </c>
      <c r="D433" s="4">
        <f t="shared" si="37"/>
        <v>5857899.4043183839</v>
      </c>
      <c r="E433" s="4">
        <f t="shared" si="38"/>
        <v>216265215.57965118</v>
      </c>
      <c r="F433" s="4">
        <f t="shared" si="39"/>
        <v>0</v>
      </c>
      <c r="G433" s="4">
        <f t="shared" si="40"/>
        <v>0</v>
      </c>
      <c r="H433" s="6">
        <f t="shared" si="41"/>
        <v>-21256996833.11293</v>
      </c>
    </row>
    <row r="434" spans="2:8" x14ac:dyDescent="0.3">
      <c r="B434">
        <v>424</v>
      </c>
      <c r="C434" s="4">
        <f t="shared" si="36"/>
        <v>-212569968.33112931</v>
      </c>
      <c r="D434" s="4">
        <f t="shared" si="37"/>
        <v>5857899.4043183839</v>
      </c>
      <c r="E434" s="4">
        <f t="shared" si="38"/>
        <v>218427867.7354477</v>
      </c>
      <c r="F434" s="4">
        <f t="shared" si="39"/>
        <v>0</v>
      </c>
      <c r="G434" s="4">
        <f t="shared" si="40"/>
        <v>0</v>
      </c>
      <c r="H434" s="6">
        <f t="shared" si="41"/>
        <v>-21475424700.848377</v>
      </c>
    </row>
    <row r="435" spans="2:8" x14ac:dyDescent="0.3">
      <c r="B435">
        <v>425</v>
      </c>
      <c r="C435" s="4">
        <f t="shared" si="36"/>
        <v>-214754247.00848377</v>
      </c>
      <c r="D435" s="4">
        <f t="shared" si="37"/>
        <v>5857899.4043183839</v>
      </c>
      <c r="E435" s="4">
        <f t="shared" si="38"/>
        <v>220612146.41280216</v>
      </c>
      <c r="F435" s="4">
        <f t="shared" si="39"/>
        <v>0</v>
      </c>
      <c r="G435" s="4">
        <f t="shared" si="40"/>
        <v>0</v>
      </c>
      <c r="H435" s="6">
        <f t="shared" si="41"/>
        <v>-21696036847.261181</v>
      </c>
    </row>
    <row r="436" spans="2:8" x14ac:dyDescent="0.3">
      <c r="B436">
        <v>426</v>
      </c>
      <c r="C436" s="4">
        <f t="shared" si="36"/>
        <v>-216960368.47261181</v>
      </c>
      <c r="D436" s="4">
        <f t="shared" si="37"/>
        <v>5857899.4043183839</v>
      </c>
      <c r="E436" s="4">
        <f t="shared" si="38"/>
        <v>227818267.87693021</v>
      </c>
      <c r="F436" s="4">
        <f t="shared" si="39"/>
        <v>5000000</v>
      </c>
      <c r="G436" s="4">
        <f t="shared" si="40"/>
        <v>0</v>
      </c>
      <c r="H436" s="6">
        <f t="shared" si="41"/>
        <v>-21923855115.138111</v>
      </c>
    </row>
    <row r="437" spans="2:8" x14ac:dyDescent="0.3">
      <c r="B437">
        <v>427</v>
      </c>
      <c r="C437" s="4">
        <f t="shared" si="36"/>
        <v>-219238551.15138111</v>
      </c>
      <c r="D437" s="4">
        <f t="shared" si="37"/>
        <v>5857899.4043183839</v>
      </c>
      <c r="E437" s="4">
        <f t="shared" si="38"/>
        <v>225096450.5556995</v>
      </c>
      <c r="F437" s="4">
        <f t="shared" si="39"/>
        <v>0</v>
      </c>
      <c r="G437" s="4">
        <f t="shared" si="40"/>
        <v>0</v>
      </c>
      <c r="H437" s="6">
        <f t="shared" si="41"/>
        <v>-22148951565.69381</v>
      </c>
    </row>
    <row r="438" spans="2:8" x14ac:dyDescent="0.3">
      <c r="B438">
        <v>428</v>
      </c>
      <c r="C438" s="4">
        <f t="shared" si="36"/>
        <v>-221489515.65693811</v>
      </c>
      <c r="D438" s="4">
        <f t="shared" si="37"/>
        <v>5857899.4043183839</v>
      </c>
      <c r="E438" s="4">
        <f t="shared" si="38"/>
        <v>227347415.0612565</v>
      </c>
      <c r="F438" s="4">
        <f t="shared" si="39"/>
        <v>0</v>
      </c>
      <c r="G438" s="4">
        <f t="shared" si="40"/>
        <v>0</v>
      </c>
      <c r="H438" s="6">
        <f t="shared" si="41"/>
        <v>-22376298980.755066</v>
      </c>
    </row>
    <row r="439" spans="2:8" x14ac:dyDescent="0.3">
      <c r="B439">
        <v>429</v>
      </c>
      <c r="C439" s="4">
        <f t="shared" si="36"/>
        <v>-223762989.80755067</v>
      </c>
      <c r="D439" s="4">
        <f t="shared" si="37"/>
        <v>5857899.4043183839</v>
      </c>
      <c r="E439" s="4">
        <f t="shared" si="38"/>
        <v>229620889.21186906</v>
      </c>
      <c r="F439" s="4">
        <f t="shared" si="39"/>
        <v>0</v>
      </c>
      <c r="G439" s="4">
        <f t="shared" si="40"/>
        <v>0</v>
      </c>
      <c r="H439" s="6">
        <f t="shared" si="41"/>
        <v>-22605919869.966934</v>
      </c>
    </row>
    <row r="440" spans="2:8" x14ac:dyDescent="0.3">
      <c r="B440">
        <v>430</v>
      </c>
      <c r="C440" s="4">
        <f t="shared" si="36"/>
        <v>-226059198.69966936</v>
      </c>
      <c r="D440" s="4">
        <f t="shared" si="37"/>
        <v>5857899.4043183839</v>
      </c>
      <c r="E440" s="4">
        <f t="shared" si="38"/>
        <v>231917098.10398775</v>
      </c>
      <c r="F440" s="4">
        <f t="shared" si="39"/>
        <v>0</v>
      </c>
      <c r="G440" s="4">
        <f t="shared" si="40"/>
        <v>0</v>
      </c>
      <c r="H440" s="6">
        <f t="shared" si="41"/>
        <v>-22837836968.070923</v>
      </c>
    </row>
    <row r="441" spans="2:8" x14ac:dyDescent="0.3">
      <c r="B441">
        <v>431</v>
      </c>
      <c r="C441" s="4">
        <f t="shared" si="36"/>
        <v>-228378369.68070924</v>
      </c>
      <c r="D441" s="4">
        <f t="shared" si="37"/>
        <v>5857899.4043183839</v>
      </c>
      <c r="E441" s="4">
        <f t="shared" si="38"/>
        <v>234236269.08502764</v>
      </c>
      <c r="F441" s="4">
        <f t="shared" si="39"/>
        <v>0</v>
      </c>
      <c r="G441" s="4">
        <f t="shared" si="40"/>
        <v>0</v>
      </c>
      <c r="H441" s="6">
        <f t="shared" si="41"/>
        <v>-23072073237.155949</v>
      </c>
    </row>
    <row r="442" spans="2:8" x14ac:dyDescent="0.3">
      <c r="B442">
        <v>432</v>
      </c>
      <c r="C442" s="4">
        <f t="shared" si="36"/>
        <v>-230720732.3715595</v>
      </c>
      <c r="D442" s="4">
        <f t="shared" si="37"/>
        <v>5857899.4043183839</v>
      </c>
      <c r="E442" s="4">
        <f t="shared" si="38"/>
        <v>241578631.77587789</v>
      </c>
      <c r="F442" s="4">
        <f t="shared" si="39"/>
        <v>5000000</v>
      </c>
      <c r="G442" s="4">
        <f t="shared" si="40"/>
        <v>0</v>
      </c>
      <c r="H442" s="6">
        <f t="shared" si="41"/>
        <v>-23313651868.931828</v>
      </c>
    </row>
    <row r="443" spans="2:8" x14ac:dyDescent="0.3">
      <c r="B443">
        <v>433</v>
      </c>
      <c r="C443" s="4">
        <f t="shared" si="36"/>
        <v>-233136518.68931827</v>
      </c>
      <c r="D443" s="4">
        <f t="shared" si="37"/>
        <v>5857899.4043183839</v>
      </c>
      <c r="E443" s="4">
        <f t="shared" si="38"/>
        <v>238994418.09363666</v>
      </c>
      <c r="F443" s="4">
        <f t="shared" si="39"/>
        <v>0</v>
      </c>
      <c r="G443" s="4">
        <f t="shared" si="40"/>
        <v>0</v>
      </c>
      <c r="H443" s="6">
        <f t="shared" si="41"/>
        <v>-23552646287.025463</v>
      </c>
    </row>
    <row r="444" spans="2:8" x14ac:dyDescent="0.3">
      <c r="B444">
        <v>434</v>
      </c>
      <c r="C444" s="4">
        <f t="shared" si="36"/>
        <v>-235526462.87025464</v>
      </c>
      <c r="D444" s="4">
        <f t="shared" si="37"/>
        <v>5857899.4043183839</v>
      </c>
      <c r="E444" s="4">
        <f t="shared" si="38"/>
        <v>241384362.27457303</v>
      </c>
      <c r="F444" s="4">
        <f t="shared" si="39"/>
        <v>0</v>
      </c>
      <c r="G444" s="4">
        <f t="shared" si="40"/>
        <v>0</v>
      </c>
      <c r="H444" s="6">
        <f t="shared" si="41"/>
        <v>-23794030649.300037</v>
      </c>
    </row>
    <row r="445" spans="2:8" x14ac:dyDescent="0.3">
      <c r="B445">
        <v>435</v>
      </c>
      <c r="C445" s="4">
        <f t="shared" si="36"/>
        <v>-237940306.49300039</v>
      </c>
      <c r="D445" s="4">
        <f t="shared" si="37"/>
        <v>5857899.4043183839</v>
      </c>
      <c r="E445" s="4">
        <f t="shared" si="38"/>
        <v>243798205.89731878</v>
      </c>
      <c r="F445" s="4">
        <f t="shared" si="39"/>
        <v>0</v>
      </c>
      <c r="G445" s="4">
        <f t="shared" si="40"/>
        <v>0</v>
      </c>
      <c r="H445" s="6">
        <f t="shared" si="41"/>
        <v>-24037828855.197357</v>
      </c>
    </row>
    <row r="446" spans="2:8" x14ac:dyDescent="0.3">
      <c r="B446">
        <v>436</v>
      </c>
      <c r="C446" s="4">
        <f t="shared" si="36"/>
        <v>-240378288.55197358</v>
      </c>
      <c r="D446" s="4">
        <f t="shared" si="37"/>
        <v>5857899.4043183839</v>
      </c>
      <c r="E446" s="4">
        <f t="shared" si="38"/>
        <v>246236187.95629197</v>
      </c>
      <c r="F446" s="4">
        <f t="shared" si="39"/>
        <v>0</v>
      </c>
      <c r="G446" s="4">
        <f t="shared" si="40"/>
        <v>0</v>
      </c>
      <c r="H446" s="6">
        <f t="shared" si="41"/>
        <v>-24284065043.153648</v>
      </c>
    </row>
    <row r="447" spans="2:8" x14ac:dyDescent="0.3">
      <c r="B447">
        <v>437</v>
      </c>
      <c r="C447" s="4">
        <f t="shared" si="36"/>
        <v>-242840650.4315365</v>
      </c>
      <c r="D447" s="4">
        <f t="shared" si="37"/>
        <v>5857899.4043183839</v>
      </c>
      <c r="E447" s="4">
        <f t="shared" si="38"/>
        <v>248698549.83585489</v>
      </c>
      <c r="F447" s="4">
        <f t="shared" si="39"/>
        <v>0</v>
      </c>
      <c r="G447" s="4">
        <f t="shared" si="40"/>
        <v>0</v>
      </c>
      <c r="H447" s="6">
        <f t="shared" si="41"/>
        <v>-24532763592.989502</v>
      </c>
    </row>
    <row r="448" spans="2:8" x14ac:dyDescent="0.3">
      <c r="B448">
        <v>438</v>
      </c>
      <c r="C448" s="4">
        <f t="shared" si="36"/>
        <v>-245327635.92989501</v>
      </c>
      <c r="D448" s="4">
        <f t="shared" si="37"/>
        <v>5857899.4043183839</v>
      </c>
      <c r="E448" s="4">
        <f t="shared" si="38"/>
        <v>256185535.33421341</v>
      </c>
      <c r="F448" s="4">
        <f t="shared" si="39"/>
        <v>5000000</v>
      </c>
      <c r="G448" s="4">
        <f t="shared" si="40"/>
        <v>0</v>
      </c>
      <c r="H448" s="6">
        <f t="shared" si="41"/>
        <v>-24788949128.323715</v>
      </c>
    </row>
    <row r="449" spans="2:8" x14ac:dyDescent="0.3">
      <c r="B449">
        <v>439</v>
      </c>
      <c r="C449" s="4">
        <f t="shared" si="36"/>
        <v>-247889491.28323716</v>
      </c>
      <c r="D449" s="4">
        <f t="shared" si="37"/>
        <v>5857899.4043183839</v>
      </c>
      <c r="E449" s="4">
        <f t="shared" si="38"/>
        <v>253747390.68755555</v>
      </c>
      <c r="F449" s="4">
        <f t="shared" si="39"/>
        <v>0</v>
      </c>
      <c r="G449" s="4">
        <f t="shared" si="40"/>
        <v>0</v>
      </c>
      <c r="H449" s="6">
        <f t="shared" si="41"/>
        <v>-25042696519.011272</v>
      </c>
    </row>
    <row r="450" spans="2:8" x14ac:dyDescent="0.3">
      <c r="B450">
        <v>440</v>
      </c>
      <c r="C450" s="4">
        <f t="shared" si="36"/>
        <v>-250426965.19011274</v>
      </c>
      <c r="D450" s="4">
        <f t="shared" si="37"/>
        <v>5857899.4043183839</v>
      </c>
      <c r="E450" s="4">
        <f t="shared" si="38"/>
        <v>256284864.59443113</v>
      </c>
      <c r="F450" s="4">
        <f t="shared" si="39"/>
        <v>0</v>
      </c>
      <c r="G450" s="4">
        <f t="shared" si="40"/>
        <v>0</v>
      </c>
      <c r="H450" s="6">
        <f t="shared" si="41"/>
        <v>-25298981383.605705</v>
      </c>
    </row>
    <row r="451" spans="2:8" x14ac:dyDescent="0.3">
      <c r="B451">
        <v>441</v>
      </c>
      <c r="C451" s="4">
        <f t="shared" si="36"/>
        <v>-252989813.83605707</v>
      </c>
      <c r="D451" s="4">
        <f t="shared" si="37"/>
        <v>5857899.4043183839</v>
      </c>
      <c r="E451" s="4">
        <f t="shared" si="38"/>
        <v>258847713.24037546</v>
      </c>
      <c r="F451" s="4">
        <f t="shared" si="39"/>
        <v>0</v>
      </c>
      <c r="G451" s="4">
        <f t="shared" si="40"/>
        <v>0</v>
      </c>
      <c r="H451" s="6">
        <f t="shared" si="41"/>
        <v>-25557829096.846081</v>
      </c>
    </row>
    <row r="452" spans="2:8" x14ac:dyDescent="0.3">
      <c r="B452">
        <v>442</v>
      </c>
      <c r="C452" s="4">
        <f t="shared" si="36"/>
        <v>-255578290.9684608</v>
      </c>
      <c r="D452" s="4">
        <f t="shared" si="37"/>
        <v>5857899.4043183839</v>
      </c>
      <c r="E452" s="4">
        <f t="shared" si="38"/>
        <v>261436190.37277919</v>
      </c>
      <c r="F452" s="4">
        <f t="shared" si="39"/>
        <v>0</v>
      </c>
      <c r="G452" s="4">
        <f t="shared" si="40"/>
        <v>0</v>
      </c>
      <c r="H452" s="6">
        <f t="shared" si="41"/>
        <v>-25819265287.218861</v>
      </c>
    </row>
    <row r="453" spans="2:8" x14ac:dyDescent="0.3">
      <c r="B453">
        <v>443</v>
      </c>
      <c r="C453" s="4">
        <f t="shared" si="36"/>
        <v>-258192652.8721886</v>
      </c>
      <c r="D453" s="4">
        <f t="shared" si="37"/>
        <v>5857899.4043183839</v>
      </c>
      <c r="E453" s="4">
        <f t="shared" si="38"/>
        <v>264050552.27650699</v>
      </c>
      <c r="F453" s="4">
        <f t="shared" si="39"/>
        <v>0</v>
      </c>
      <c r="G453" s="4">
        <f t="shared" si="40"/>
        <v>0</v>
      </c>
      <c r="H453" s="6">
        <f t="shared" si="41"/>
        <v>-26083315839.495369</v>
      </c>
    </row>
    <row r="454" spans="2:8" x14ac:dyDescent="0.3">
      <c r="B454">
        <v>444</v>
      </c>
      <c r="C454" s="4">
        <f t="shared" si="36"/>
        <v>-260833158.3949537</v>
      </c>
      <c r="D454" s="4">
        <f t="shared" si="37"/>
        <v>5857899.4043183839</v>
      </c>
      <c r="E454" s="4">
        <f t="shared" si="38"/>
        <v>271691057.79927206</v>
      </c>
      <c r="F454" s="4">
        <f t="shared" si="39"/>
        <v>5000000</v>
      </c>
      <c r="G454" s="4">
        <f t="shared" si="40"/>
        <v>0</v>
      </c>
      <c r="H454" s="6">
        <f t="shared" si="41"/>
        <v>-26355006897.29464</v>
      </c>
    </row>
    <row r="455" spans="2:8" x14ac:dyDescent="0.3">
      <c r="B455">
        <v>445</v>
      </c>
      <c r="C455" s="4">
        <f t="shared" si="36"/>
        <v>-263550068.97294641</v>
      </c>
      <c r="D455" s="4">
        <f t="shared" si="37"/>
        <v>5857899.4043183839</v>
      </c>
      <c r="E455" s="4">
        <f t="shared" si="38"/>
        <v>269407968.3772648</v>
      </c>
      <c r="F455" s="4">
        <f t="shared" si="39"/>
        <v>0</v>
      </c>
      <c r="G455" s="4">
        <f t="shared" si="40"/>
        <v>0</v>
      </c>
      <c r="H455" s="6">
        <f t="shared" si="41"/>
        <v>-26624414865.671906</v>
      </c>
    </row>
    <row r="456" spans="2:8" x14ac:dyDescent="0.3">
      <c r="B456">
        <v>446</v>
      </c>
      <c r="C456" s="4">
        <f t="shared" si="36"/>
        <v>-266244148.65671906</v>
      </c>
      <c r="D456" s="4">
        <f t="shared" si="37"/>
        <v>5857899.4043183839</v>
      </c>
      <c r="E456" s="4">
        <f t="shared" si="38"/>
        <v>272102048.06103742</v>
      </c>
      <c r="F456" s="4">
        <f t="shared" si="39"/>
        <v>0</v>
      </c>
      <c r="G456" s="4">
        <f t="shared" si="40"/>
        <v>0</v>
      </c>
      <c r="H456" s="6">
        <f t="shared" si="41"/>
        <v>-26896516913.732944</v>
      </c>
    </row>
    <row r="457" spans="2:8" x14ac:dyDescent="0.3">
      <c r="B457">
        <v>447</v>
      </c>
      <c r="C457" s="4">
        <f t="shared" si="36"/>
        <v>-268965169.13732946</v>
      </c>
      <c r="D457" s="4">
        <f t="shared" si="37"/>
        <v>5857899.4043183839</v>
      </c>
      <c r="E457" s="4">
        <f t="shared" si="38"/>
        <v>274823068.54164785</v>
      </c>
      <c r="F457" s="4">
        <f t="shared" si="39"/>
        <v>0</v>
      </c>
      <c r="G457" s="4">
        <f t="shared" si="40"/>
        <v>0</v>
      </c>
      <c r="H457" s="6">
        <f t="shared" si="41"/>
        <v>-27171339982.274593</v>
      </c>
    </row>
    <row r="458" spans="2:8" x14ac:dyDescent="0.3">
      <c r="B458">
        <v>448</v>
      </c>
      <c r="C458" s="4">
        <f t="shared" si="36"/>
        <v>-271713399.82274592</v>
      </c>
      <c r="D458" s="4">
        <f t="shared" si="37"/>
        <v>5857899.4043183839</v>
      </c>
      <c r="E458" s="4">
        <f t="shared" si="38"/>
        <v>277571299.22706431</v>
      </c>
      <c r="F458" s="4">
        <f t="shared" si="39"/>
        <v>0</v>
      </c>
      <c r="G458" s="4">
        <f t="shared" si="40"/>
        <v>0</v>
      </c>
      <c r="H458" s="6">
        <f t="shared" si="41"/>
        <v>-27448911281.501659</v>
      </c>
    </row>
    <row r="459" spans="2:8" x14ac:dyDescent="0.3">
      <c r="B459">
        <v>449</v>
      </c>
      <c r="C459" s="4">
        <f t="shared" si="36"/>
        <v>-274489112.81501663</v>
      </c>
      <c r="D459" s="4">
        <f t="shared" si="37"/>
        <v>5857899.4043183839</v>
      </c>
      <c r="E459" s="4">
        <f t="shared" si="38"/>
        <v>280347012.21933502</v>
      </c>
      <c r="F459" s="4">
        <f t="shared" si="39"/>
        <v>0</v>
      </c>
      <c r="G459" s="4">
        <f t="shared" si="40"/>
        <v>0</v>
      </c>
      <c r="H459" s="6">
        <f t="shared" si="41"/>
        <v>-27729258293.720993</v>
      </c>
    </row>
    <row r="460" spans="2:8" x14ac:dyDescent="0.3">
      <c r="B460">
        <v>450</v>
      </c>
      <c r="C460" s="4">
        <f t="shared" ref="C460:C523" si="42">H459*$C$5</f>
        <v>-277292582.93720996</v>
      </c>
      <c r="D460" s="4">
        <f t="shared" ref="D460:D523" si="43">IF(B460&lt;=$C$6,0,$C$7)</f>
        <v>5857899.4043183839</v>
      </c>
      <c r="E460" s="4">
        <f t="shared" ref="E460:E523" si="44">D460-C460+F460+G460</f>
        <v>288150482.34152836</v>
      </c>
      <c r="F460" s="4">
        <f t="shared" ref="F460:F523" si="45">IF(MOD(B460,$F$3)=0,$F$2,0)</f>
        <v>5000000</v>
      </c>
      <c r="G460" s="4">
        <f t="shared" ref="G460:G523" si="46">IF(B460=$C$3,$F$4*$C$2,0)</f>
        <v>0</v>
      </c>
      <c r="H460" s="6">
        <f t="shared" ref="H460:H523" si="47">H459-E460</f>
        <v>-28017408776.062523</v>
      </c>
    </row>
    <row r="461" spans="2:8" x14ac:dyDescent="0.3">
      <c r="B461">
        <v>451</v>
      </c>
      <c r="C461" s="4">
        <f t="shared" si="42"/>
        <v>-280174087.76062524</v>
      </c>
      <c r="D461" s="4">
        <f t="shared" si="43"/>
        <v>5857899.4043183839</v>
      </c>
      <c r="E461" s="4">
        <f t="shared" si="44"/>
        <v>286031987.16494364</v>
      </c>
      <c r="F461" s="4">
        <f t="shared" si="45"/>
        <v>0</v>
      </c>
      <c r="G461" s="4">
        <f t="shared" si="46"/>
        <v>0</v>
      </c>
      <c r="H461" s="6">
        <f t="shared" si="47"/>
        <v>-28303440763.227467</v>
      </c>
    </row>
    <row r="462" spans="2:8" x14ac:dyDescent="0.3">
      <c r="B462">
        <v>452</v>
      </c>
      <c r="C462" s="4">
        <f t="shared" si="42"/>
        <v>-283034407.63227469</v>
      </c>
      <c r="D462" s="4">
        <f t="shared" si="43"/>
        <v>5857899.4043183839</v>
      </c>
      <c r="E462" s="4">
        <f t="shared" si="44"/>
        <v>288892307.03659308</v>
      </c>
      <c r="F462" s="4">
        <f t="shared" si="45"/>
        <v>0</v>
      </c>
      <c r="G462" s="4">
        <f t="shared" si="46"/>
        <v>0</v>
      </c>
      <c r="H462" s="6">
        <f t="shared" si="47"/>
        <v>-28592333070.264061</v>
      </c>
    </row>
    <row r="463" spans="2:8" x14ac:dyDescent="0.3">
      <c r="B463">
        <v>453</v>
      </c>
      <c r="C463" s="4">
        <f t="shared" si="42"/>
        <v>-285923330.70264059</v>
      </c>
      <c r="D463" s="4">
        <f t="shared" si="43"/>
        <v>5857899.4043183839</v>
      </c>
      <c r="E463" s="4">
        <f t="shared" si="44"/>
        <v>291781230.10695899</v>
      </c>
      <c r="F463" s="4">
        <f t="shared" si="45"/>
        <v>0</v>
      </c>
      <c r="G463" s="4">
        <f t="shared" si="46"/>
        <v>0</v>
      </c>
      <c r="H463" s="6">
        <f t="shared" si="47"/>
        <v>-28884114300.371021</v>
      </c>
    </row>
    <row r="464" spans="2:8" x14ac:dyDescent="0.3">
      <c r="B464">
        <v>454</v>
      </c>
      <c r="C464" s="4">
        <f t="shared" si="42"/>
        <v>-288841143.00371021</v>
      </c>
      <c r="D464" s="4">
        <f t="shared" si="43"/>
        <v>5857899.4043183839</v>
      </c>
      <c r="E464" s="4">
        <f t="shared" si="44"/>
        <v>294699042.4080286</v>
      </c>
      <c r="F464" s="4">
        <f t="shared" si="45"/>
        <v>0</v>
      </c>
      <c r="G464" s="4">
        <f t="shared" si="46"/>
        <v>0</v>
      </c>
      <c r="H464" s="6">
        <f t="shared" si="47"/>
        <v>-29178813342.779049</v>
      </c>
    </row>
    <row r="465" spans="2:8" x14ac:dyDescent="0.3">
      <c r="B465">
        <v>455</v>
      </c>
      <c r="C465" s="4">
        <f t="shared" si="42"/>
        <v>-291788133.42779052</v>
      </c>
      <c r="D465" s="4">
        <f t="shared" si="43"/>
        <v>5857899.4043183839</v>
      </c>
      <c r="E465" s="4">
        <f t="shared" si="44"/>
        <v>297646032.83210891</v>
      </c>
      <c r="F465" s="4">
        <f t="shared" si="45"/>
        <v>0</v>
      </c>
      <c r="G465" s="4">
        <f t="shared" si="46"/>
        <v>0</v>
      </c>
      <c r="H465" s="6">
        <f t="shared" si="47"/>
        <v>-29476459375.611156</v>
      </c>
    </row>
    <row r="466" spans="2:8" x14ac:dyDescent="0.3">
      <c r="B466">
        <v>456</v>
      </c>
      <c r="C466" s="4">
        <f t="shared" si="42"/>
        <v>-294764593.75611156</v>
      </c>
      <c r="D466" s="4">
        <f t="shared" si="43"/>
        <v>5857899.4043183839</v>
      </c>
      <c r="E466" s="4">
        <f t="shared" si="44"/>
        <v>305622493.16042995</v>
      </c>
      <c r="F466" s="4">
        <f t="shared" si="45"/>
        <v>5000000</v>
      </c>
      <c r="G466" s="4">
        <f t="shared" si="46"/>
        <v>0</v>
      </c>
      <c r="H466" s="6">
        <f t="shared" si="47"/>
        <v>-29782081868.771587</v>
      </c>
    </row>
    <row r="467" spans="2:8" x14ac:dyDescent="0.3">
      <c r="B467">
        <v>457</v>
      </c>
      <c r="C467" s="4">
        <f t="shared" si="42"/>
        <v>-297820818.68771589</v>
      </c>
      <c r="D467" s="4">
        <f t="shared" si="43"/>
        <v>5857899.4043183839</v>
      </c>
      <c r="E467" s="4">
        <f t="shared" si="44"/>
        <v>303678718.09203428</v>
      </c>
      <c r="F467" s="4">
        <f t="shared" si="45"/>
        <v>0</v>
      </c>
      <c r="G467" s="4">
        <f t="shared" si="46"/>
        <v>0</v>
      </c>
      <c r="H467" s="6">
        <f t="shared" si="47"/>
        <v>-30085760586.863621</v>
      </c>
    </row>
    <row r="468" spans="2:8" x14ac:dyDescent="0.3">
      <c r="B468">
        <v>458</v>
      </c>
      <c r="C468" s="4">
        <f t="shared" si="42"/>
        <v>-300857605.86863619</v>
      </c>
      <c r="D468" s="4">
        <f t="shared" si="43"/>
        <v>5857899.4043183839</v>
      </c>
      <c r="E468" s="4">
        <f t="shared" si="44"/>
        <v>306715505.27295458</v>
      </c>
      <c r="F468" s="4">
        <f t="shared" si="45"/>
        <v>0</v>
      </c>
      <c r="G468" s="4">
        <f t="shared" si="46"/>
        <v>0</v>
      </c>
      <c r="H468" s="6">
        <f t="shared" si="47"/>
        <v>-30392476092.136574</v>
      </c>
    </row>
    <row r="469" spans="2:8" x14ac:dyDescent="0.3">
      <c r="B469">
        <v>459</v>
      </c>
      <c r="C469" s="4">
        <f t="shared" si="42"/>
        <v>-303924760.92136574</v>
      </c>
      <c r="D469" s="4">
        <f t="shared" si="43"/>
        <v>5857899.4043183839</v>
      </c>
      <c r="E469" s="4">
        <f t="shared" si="44"/>
        <v>309782660.32568413</v>
      </c>
      <c r="F469" s="4">
        <f t="shared" si="45"/>
        <v>0</v>
      </c>
      <c r="G469" s="4">
        <f t="shared" si="46"/>
        <v>0</v>
      </c>
      <c r="H469" s="6">
        <f t="shared" si="47"/>
        <v>-30702258752.462257</v>
      </c>
    </row>
    <row r="470" spans="2:8" x14ac:dyDescent="0.3">
      <c r="B470">
        <v>460</v>
      </c>
      <c r="C470" s="4">
        <f t="shared" si="42"/>
        <v>-307022587.52462256</v>
      </c>
      <c r="D470" s="4">
        <f t="shared" si="43"/>
        <v>5857899.4043183839</v>
      </c>
      <c r="E470" s="4">
        <f t="shared" si="44"/>
        <v>312880486.92894095</v>
      </c>
      <c r="F470" s="4">
        <f t="shared" si="45"/>
        <v>0</v>
      </c>
      <c r="G470" s="4">
        <f t="shared" si="46"/>
        <v>0</v>
      </c>
      <c r="H470" s="6">
        <f t="shared" si="47"/>
        <v>-31015139239.391197</v>
      </c>
    </row>
    <row r="471" spans="2:8" x14ac:dyDescent="0.3">
      <c r="B471">
        <v>461</v>
      </c>
      <c r="C471" s="4">
        <f t="shared" si="42"/>
        <v>-310151392.39391196</v>
      </c>
      <c r="D471" s="4">
        <f t="shared" si="43"/>
        <v>5857899.4043183839</v>
      </c>
      <c r="E471" s="4">
        <f t="shared" si="44"/>
        <v>316009291.79823035</v>
      </c>
      <c r="F471" s="4">
        <f t="shared" si="45"/>
        <v>0</v>
      </c>
      <c r="G471" s="4">
        <f t="shared" si="46"/>
        <v>0</v>
      </c>
      <c r="H471" s="6">
        <f t="shared" si="47"/>
        <v>-31331148531.189426</v>
      </c>
    </row>
    <row r="472" spans="2:8" x14ac:dyDescent="0.3">
      <c r="B472">
        <v>462</v>
      </c>
      <c r="C472" s="4">
        <f t="shared" si="42"/>
        <v>-313311485.3118943</v>
      </c>
      <c r="D472" s="4">
        <f t="shared" si="43"/>
        <v>5857899.4043183839</v>
      </c>
      <c r="E472" s="4">
        <f t="shared" si="44"/>
        <v>324169384.71621269</v>
      </c>
      <c r="F472" s="4">
        <f t="shared" si="45"/>
        <v>5000000</v>
      </c>
      <c r="G472" s="4">
        <f t="shared" si="46"/>
        <v>0</v>
      </c>
      <c r="H472" s="6">
        <f t="shared" si="47"/>
        <v>-31655317915.90564</v>
      </c>
    </row>
    <row r="473" spans="2:8" x14ac:dyDescent="0.3">
      <c r="B473">
        <v>463</v>
      </c>
      <c r="C473" s="4">
        <f t="shared" si="42"/>
        <v>-316553179.15905643</v>
      </c>
      <c r="D473" s="4">
        <f t="shared" si="43"/>
        <v>5857899.4043183839</v>
      </c>
      <c r="E473" s="4">
        <f t="shared" si="44"/>
        <v>322411078.56337482</v>
      </c>
      <c r="F473" s="4">
        <f t="shared" si="45"/>
        <v>0</v>
      </c>
      <c r="G473" s="4">
        <f t="shared" si="46"/>
        <v>0</v>
      </c>
      <c r="H473" s="6">
        <f t="shared" si="47"/>
        <v>-31977728994.469013</v>
      </c>
    </row>
    <row r="474" spans="2:8" x14ac:dyDescent="0.3">
      <c r="B474">
        <v>464</v>
      </c>
      <c r="C474" s="4">
        <f t="shared" si="42"/>
        <v>-319777289.94469017</v>
      </c>
      <c r="D474" s="4">
        <f t="shared" si="43"/>
        <v>5857899.4043183839</v>
      </c>
      <c r="E474" s="4">
        <f t="shared" si="44"/>
        <v>325635189.34900856</v>
      </c>
      <c r="F474" s="4">
        <f t="shared" si="45"/>
        <v>0</v>
      </c>
      <c r="G474" s="4">
        <f t="shared" si="46"/>
        <v>0</v>
      </c>
      <c r="H474" s="6">
        <f t="shared" si="47"/>
        <v>-32303364183.818024</v>
      </c>
    </row>
    <row r="475" spans="2:8" x14ac:dyDescent="0.3">
      <c r="B475">
        <v>465</v>
      </c>
      <c r="C475" s="4">
        <f t="shared" si="42"/>
        <v>-323033641.83818024</v>
      </c>
      <c r="D475" s="4">
        <f t="shared" si="43"/>
        <v>5857899.4043183839</v>
      </c>
      <c r="E475" s="4">
        <f t="shared" si="44"/>
        <v>328891541.24249864</v>
      </c>
      <c r="F475" s="4">
        <f t="shared" si="45"/>
        <v>0</v>
      </c>
      <c r="G475" s="4">
        <f t="shared" si="46"/>
        <v>0</v>
      </c>
      <c r="H475" s="6">
        <f t="shared" si="47"/>
        <v>-32632255725.060524</v>
      </c>
    </row>
    <row r="476" spans="2:8" x14ac:dyDescent="0.3">
      <c r="B476">
        <v>466</v>
      </c>
      <c r="C476" s="4">
        <f t="shared" si="42"/>
        <v>-326322557.25060523</v>
      </c>
      <c r="D476" s="4">
        <f t="shared" si="43"/>
        <v>5857899.4043183839</v>
      </c>
      <c r="E476" s="4">
        <f t="shared" si="44"/>
        <v>332180456.65492362</v>
      </c>
      <c r="F476" s="4">
        <f t="shared" si="45"/>
        <v>0</v>
      </c>
      <c r="G476" s="4">
        <f t="shared" si="46"/>
        <v>0</v>
      </c>
      <c r="H476" s="6">
        <f t="shared" si="47"/>
        <v>-32964436181.715446</v>
      </c>
    </row>
    <row r="477" spans="2:8" x14ac:dyDescent="0.3">
      <c r="B477">
        <v>467</v>
      </c>
      <c r="C477" s="4">
        <f t="shared" si="42"/>
        <v>-329644361.81715447</v>
      </c>
      <c r="D477" s="4">
        <f t="shared" si="43"/>
        <v>5857899.4043183839</v>
      </c>
      <c r="E477" s="4">
        <f t="shared" si="44"/>
        <v>335502261.22147286</v>
      </c>
      <c r="F477" s="4">
        <f t="shared" si="45"/>
        <v>0</v>
      </c>
      <c r="G477" s="4">
        <f t="shared" si="46"/>
        <v>0</v>
      </c>
      <c r="H477" s="6">
        <f t="shared" si="47"/>
        <v>-33299938442.93692</v>
      </c>
    </row>
    <row r="478" spans="2:8" x14ac:dyDescent="0.3">
      <c r="B478">
        <v>468</v>
      </c>
      <c r="C478" s="4">
        <f t="shared" si="42"/>
        <v>-332999384.42936921</v>
      </c>
      <c r="D478" s="4">
        <f t="shared" si="43"/>
        <v>5857899.4043183839</v>
      </c>
      <c r="E478" s="4">
        <f t="shared" si="44"/>
        <v>343857283.8336876</v>
      </c>
      <c r="F478" s="4">
        <f t="shared" si="45"/>
        <v>5000000</v>
      </c>
      <c r="G478" s="4">
        <f t="shared" si="46"/>
        <v>0</v>
      </c>
      <c r="H478" s="6">
        <f t="shared" si="47"/>
        <v>-33643795726.770607</v>
      </c>
    </row>
    <row r="479" spans="2:8" x14ac:dyDescent="0.3">
      <c r="B479">
        <v>469</v>
      </c>
      <c r="C479" s="4">
        <f t="shared" si="42"/>
        <v>-336437957.2677061</v>
      </c>
      <c r="D479" s="4">
        <f t="shared" si="43"/>
        <v>5857899.4043183839</v>
      </c>
      <c r="E479" s="4">
        <f t="shared" si="44"/>
        <v>342295856.67202449</v>
      </c>
      <c r="F479" s="4">
        <f t="shared" si="45"/>
        <v>0</v>
      </c>
      <c r="G479" s="4">
        <f t="shared" si="46"/>
        <v>0</v>
      </c>
      <c r="H479" s="6">
        <f t="shared" si="47"/>
        <v>-33986091583.442631</v>
      </c>
    </row>
    <row r="480" spans="2:8" x14ac:dyDescent="0.3">
      <c r="B480">
        <v>470</v>
      </c>
      <c r="C480" s="4">
        <f t="shared" si="42"/>
        <v>-339860915.83442634</v>
      </c>
      <c r="D480" s="4">
        <f t="shared" si="43"/>
        <v>5857899.4043183839</v>
      </c>
      <c r="E480" s="4">
        <f t="shared" si="44"/>
        <v>345718815.23874474</v>
      </c>
      <c r="F480" s="4">
        <f t="shared" si="45"/>
        <v>0</v>
      </c>
      <c r="G480" s="4">
        <f t="shared" si="46"/>
        <v>0</v>
      </c>
      <c r="H480" s="6">
        <f t="shared" si="47"/>
        <v>-34331810398.681374</v>
      </c>
    </row>
    <row r="481" spans="2:8" x14ac:dyDescent="0.3">
      <c r="B481">
        <v>471</v>
      </c>
      <c r="C481" s="4">
        <f t="shared" si="42"/>
        <v>-343318103.98681372</v>
      </c>
      <c r="D481" s="4">
        <f t="shared" si="43"/>
        <v>5857899.4043183839</v>
      </c>
      <c r="E481" s="4">
        <f t="shared" si="44"/>
        <v>349176003.39113212</v>
      </c>
      <c r="F481" s="4">
        <f t="shared" si="45"/>
        <v>0</v>
      </c>
      <c r="G481" s="4">
        <f t="shared" si="46"/>
        <v>0</v>
      </c>
      <c r="H481" s="6">
        <f t="shared" si="47"/>
        <v>-34680986402.072502</v>
      </c>
    </row>
    <row r="482" spans="2:8" x14ac:dyDescent="0.3">
      <c r="B482">
        <v>472</v>
      </c>
      <c r="C482" s="4">
        <f t="shared" si="42"/>
        <v>-346809864.02072501</v>
      </c>
      <c r="D482" s="4">
        <f t="shared" si="43"/>
        <v>5857899.4043183839</v>
      </c>
      <c r="E482" s="4">
        <f t="shared" si="44"/>
        <v>352667763.4250434</v>
      </c>
      <c r="F482" s="4">
        <f t="shared" si="45"/>
        <v>0</v>
      </c>
      <c r="G482" s="4">
        <f t="shared" si="46"/>
        <v>0</v>
      </c>
      <c r="H482" s="6">
        <f t="shared" si="47"/>
        <v>-35033654165.497543</v>
      </c>
    </row>
    <row r="483" spans="2:8" x14ac:dyDescent="0.3">
      <c r="B483">
        <v>473</v>
      </c>
      <c r="C483" s="4">
        <f t="shared" si="42"/>
        <v>-350336541.65497541</v>
      </c>
      <c r="D483" s="4">
        <f t="shared" si="43"/>
        <v>5857899.4043183839</v>
      </c>
      <c r="E483" s="4">
        <f t="shared" si="44"/>
        <v>356194441.05929381</v>
      </c>
      <c r="F483" s="4">
        <f t="shared" si="45"/>
        <v>0</v>
      </c>
      <c r="G483" s="4">
        <f t="shared" si="46"/>
        <v>0</v>
      </c>
      <c r="H483" s="6">
        <f t="shared" si="47"/>
        <v>-35389848606.556839</v>
      </c>
    </row>
    <row r="484" spans="2:8" x14ac:dyDescent="0.3">
      <c r="B484">
        <v>474</v>
      </c>
      <c r="C484" s="4">
        <f t="shared" si="42"/>
        <v>-353898486.06556839</v>
      </c>
      <c r="D484" s="4">
        <f t="shared" si="43"/>
        <v>5857899.4043183839</v>
      </c>
      <c r="E484" s="4">
        <f t="shared" si="44"/>
        <v>364756385.46988678</v>
      </c>
      <c r="F484" s="4">
        <f t="shared" si="45"/>
        <v>5000000</v>
      </c>
      <c r="G484" s="4">
        <f t="shared" si="46"/>
        <v>0</v>
      </c>
      <c r="H484" s="6">
        <f t="shared" si="47"/>
        <v>-35754604992.026726</v>
      </c>
    </row>
    <row r="485" spans="2:8" x14ac:dyDescent="0.3">
      <c r="B485">
        <v>475</v>
      </c>
      <c r="C485" s="4">
        <f t="shared" si="42"/>
        <v>-357546049.92026728</v>
      </c>
      <c r="D485" s="4">
        <f t="shared" si="43"/>
        <v>5857899.4043183839</v>
      </c>
      <c r="E485" s="4">
        <f t="shared" si="44"/>
        <v>363403949.32458568</v>
      </c>
      <c r="F485" s="4">
        <f t="shared" si="45"/>
        <v>0</v>
      </c>
      <c r="G485" s="4">
        <f t="shared" si="46"/>
        <v>0</v>
      </c>
      <c r="H485" s="6">
        <f t="shared" si="47"/>
        <v>-36118008941.351311</v>
      </c>
    </row>
    <row r="486" spans="2:8" x14ac:dyDescent="0.3">
      <c r="B486">
        <v>476</v>
      </c>
      <c r="C486" s="4">
        <f t="shared" si="42"/>
        <v>-361180089.41351312</v>
      </c>
      <c r="D486" s="4">
        <f t="shared" si="43"/>
        <v>5857899.4043183839</v>
      </c>
      <c r="E486" s="4">
        <f t="shared" si="44"/>
        <v>367037988.81783152</v>
      </c>
      <c r="F486" s="4">
        <f t="shared" si="45"/>
        <v>0</v>
      </c>
      <c r="G486" s="4">
        <f t="shared" si="46"/>
        <v>0</v>
      </c>
      <c r="H486" s="6">
        <f t="shared" si="47"/>
        <v>-36485046930.169144</v>
      </c>
    </row>
    <row r="487" spans="2:8" x14ac:dyDescent="0.3">
      <c r="B487">
        <v>477</v>
      </c>
      <c r="C487" s="4">
        <f t="shared" si="42"/>
        <v>-364850469.30169147</v>
      </c>
      <c r="D487" s="4">
        <f t="shared" si="43"/>
        <v>5857899.4043183839</v>
      </c>
      <c r="E487" s="4">
        <f t="shared" si="44"/>
        <v>370708368.70600986</v>
      </c>
      <c r="F487" s="4">
        <f t="shared" si="45"/>
        <v>0</v>
      </c>
      <c r="G487" s="4">
        <f t="shared" si="46"/>
        <v>0</v>
      </c>
      <c r="H487" s="6">
        <f t="shared" si="47"/>
        <v>-36855755298.875153</v>
      </c>
    </row>
    <row r="488" spans="2:8" x14ac:dyDescent="0.3">
      <c r="B488">
        <v>478</v>
      </c>
      <c r="C488" s="4">
        <f t="shared" si="42"/>
        <v>-368557552.98875153</v>
      </c>
      <c r="D488" s="4">
        <f t="shared" si="43"/>
        <v>5857899.4043183839</v>
      </c>
      <c r="E488" s="4">
        <f t="shared" si="44"/>
        <v>374415452.39306992</v>
      </c>
      <c r="F488" s="4">
        <f t="shared" si="45"/>
        <v>0</v>
      </c>
      <c r="G488" s="4">
        <f t="shared" si="46"/>
        <v>0</v>
      </c>
      <c r="H488" s="6">
        <f t="shared" si="47"/>
        <v>-37230170751.268219</v>
      </c>
    </row>
    <row r="489" spans="2:8" x14ac:dyDescent="0.3">
      <c r="B489">
        <v>479</v>
      </c>
      <c r="C489" s="4">
        <f t="shared" si="42"/>
        <v>-372301707.5126822</v>
      </c>
      <c r="D489" s="4">
        <f t="shared" si="43"/>
        <v>5857899.4043183839</v>
      </c>
      <c r="E489" s="4">
        <f t="shared" si="44"/>
        <v>378159606.91700059</v>
      </c>
      <c r="F489" s="4">
        <f t="shared" si="45"/>
        <v>0</v>
      </c>
      <c r="G489" s="4">
        <f t="shared" si="46"/>
        <v>0</v>
      </c>
      <c r="H489" s="6">
        <f t="shared" si="47"/>
        <v>-37608330358.185219</v>
      </c>
    </row>
    <row r="490" spans="2:8" x14ac:dyDescent="0.3">
      <c r="B490">
        <v>480</v>
      </c>
      <c r="C490" s="4">
        <f t="shared" si="42"/>
        <v>-376083303.5818522</v>
      </c>
      <c r="D490" s="4">
        <f t="shared" si="43"/>
        <v>5857899.4043183839</v>
      </c>
      <c r="E490" s="4">
        <f t="shared" si="44"/>
        <v>386941202.98617059</v>
      </c>
      <c r="F490" s="4">
        <f t="shared" si="45"/>
        <v>5000000</v>
      </c>
      <c r="G490" s="4">
        <f t="shared" si="46"/>
        <v>0</v>
      </c>
      <c r="H490" s="6">
        <f t="shared" si="47"/>
        <v>-37995271561.171387</v>
      </c>
    </row>
    <row r="491" spans="2:8" x14ac:dyDescent="0.3">
      <c r="B491">
        <v>481</v>
      </c>
      <c r="C491" s="4">
        <f t="shared" si="42"/>
        <v>-379952715.61171389</v>
      </c>
      <c r="D491" s="4">
        <f t="shared" si="43"/>
        <v>5857899.4043183839</v>
      </c>
      <c r="E491" s="4">
        <f t="shared" si="44"/>
        <v>385810615.01603228</v>
      </c>
      <c r="F491" s="4">
        <f t="shared" si="45"/>
        <v>0</v>
      </c>
      <c r="G491" s="4">
        <f t="shared" si="46"/>
        <v>0</v>
      </c>
      <c r="H491" s="6">
        <f t="shared" si="47"/>
        <v>-38381082176.187416</v>
      </c>
    </row>
    <row r="492" spans="2:8" x14ac:dyDescent="0.3">
      <c r="B492">
        <v>482</v>
      </c>
      <c r="C492" s="4">
        <f t="shared" si="42"/>
        <v>-383810821.76187414</v>
      </c>
      <c r="D492" s="4">
        <f t="shared" si="43"/>
        <v>5857899.4043183839</v>
      </c>
      <c r="E492" s="4">
        <f t="shared" si="44"/>
        <v>389668721.16619253</v>
      </c>
      <c r="F492" s="4">
        <f t="shared" si="45"/>
        <v>0</v>
      </c>
      <c r="G492" s="4">
        <f t="shared" si="46"/>
        <v>0</v>
      </c>
      <c r="H492" s="6">
        <f t="shared" si="47"/>
        <v>-38770750897.353607</v>
      </c>
    </row>
    <row r="493" spans="2:8" x14ac:dyDescent="0.3">
      <c r="B493">
        <v>483</v>
      </c>
      <c r="C493" s="4">
        <f t="shared" si="42"/>
        <v>-387707508.97353607</v>
      </c>
      <c r="D493" s="4">
        <f t="shared" si="43"/>
        <v>5857899.4043183839</v>
      </c>
      <c r="E493" s="4">
        <f t="shared" si="44"/>
        <v>393565408.37785447</v>
      </c>
      <c r="F493" s="4">
        <f t="shared" si="45"/>
        <v>0</v>
      </c>
      <c r="G493" s="4">
        <f t="shared" si="46"/>
        <v>0</v>
      </c>
      <c r="H493" s="6">
        <f t="shared" si="47"/>
        <v>-39164316305.731461</v>
      </c>
    </row>
    <row r="494" spans="2:8" x14ac:dyDescent="0.3">
      <c r="B494">
        <v>484</v>
      </c>
      <c r="C494" s="4">
        <f t="shared" si="42"/>
        <v>-391643163.05731463</v>
      </c>
      <c r="D494" s="4">
        <f t="shared" si="43"/>
        <v>5857899.4043183839</v>
      </c>
      <c r="E494" s="4">
        <f t="shared" si="44"/>
        <v>397501062.46163303</v>
      </c>
      <c r="F494" s="4">
        <f t="shared" si="45"/>
        <v>0</v>
      </c>
      <c r="G494" s="4">
        <f t="shared" si="46"/>
        <v>0</v>
      </c>
      <c r="H494" s="6">
        <f t="shared" si="47"/>
        <v>-39561817368.193092</v>
      </c>
    </row>
    <row r="495" spans="2:8" x14ac:dyDescent="0.3">
      <c r="B495">
        <v>485</v>
      </c>
      <c r="C495" s="4">
        <f t="shared" si="42"/>
        <v>-395618173.68193096</v>
      </c>
      <c r="D495" s="4">
        <f t="shared" si="43"/>
        <v>5857899.4043183839</v>
      </c>
      <c r="E495" s="4">
        <f t="shared" si="44"/>
        <v>401476073.08624935</v>
      </c>
      <c r="F495" s="4">
        <f t="shared" si="45"/>
        <v>0</v>
      </c>
      <c r="G495" s="4">
        <f t="shared" si="46"/>
        <v>0</v>
      </c>
      <c r="H495" s="6">
        <f t="shared" si="47"/>
        <v>-39963293441.279343</v>
      </c>
    </row>
    <row r="496" spans="2:8" x14ac:dyDescent="0.3">
      <c r="B496">
        <v>486</v>
      </c>
      <c r="C496" s="4">
        <f t="shared" si="42"/>
        <v>-399632934.41279346</v>
      </c>
      <c r="D496" s="4">
        <f t="shared" si="43"/>
        <v>5857899.4043183839</v>
      </c>
      <c r="E496" s="4">
        <f t="shared" si="44"/>
        <v>410490833.81711185</v>
      </c>
      <c r="F496" s="4">
        <f t="shared" si="45"/>
        <v>5000000</v>
      </c>
      <c r="G496" s="4">
        <f t="shared" si="46"/>
        <v>0</v>
      </c>
      <c r="H496" s="6">
        <f t="shared" si="47"/>
        <v>-40373784275.096451</v>
      </c>
    </row>
    <row r="497" spans="2:8" x14ac:dyDescent="0.3">
      <c r="B497">
        <v>487</v>
      </c>
      <c r="C497" s="4">
        <f t="shared" si="42"/>
        <v>-403737842.75096452</v>
      </c>
      <c r="D497" s="4">
        <f t="shared" si="43"/>
        <v>5857899.4043183839</v>
      </c>
      <c r="E497" s="4">
        <f t="shared" si="44"/>
        <v>409595742.15528291</v>
      </c>
      <c r="F497" s="4">
        <f t="shared" si="45"/>
        <v>0</v>
      </c>
      <c r="G497" s="4">
        <f t="shared" si="46"/>
        <v>0</v>
      </c>
      <c r="H497" s="6">
        <f t="shared" si="47"/>
        <v>-40783380017.251732</v>
      </c>
    </row>
    <row r="498" spans="2:8" x14ac:dyDescent="0.3">
      <c r="B498">
        <v>488</v>
      </c>
      <c r="C498" s="4">
        <f t="shared" si="42"/>
        <v>-407833800.1725173</v>
      </c>
      <c r="D498" s="4">
        <f t="shared" si="43"/>
        <v>5857899.4043183839</v>
      </c>
      <c r="E498" s="4">
        <f t="shared" si="44"/>
        <v>413691699.57683569</v>
      </c>
      <c r="F498" s="4">
        <f t="shared" si="45"/>
        <v>0</v>
      </c>
      <c r="G498" s="4">
        <f t="shared" si="46"/>
        <v>0</v>
      </c>
      <c r="H498" s="6">
        <f t="shared" si="47"/>
        <v>-41197071716.828568</v>
      </c>
    </row>
    <row r="499" spans="2:8" x14ac:dyDescent="0.3">
      <c r="B499">
        <v>489</v>
      </c>
      <c r="C499" s="4">
        <f t="shared" si="42"/>
        <v>-411970717.16828567</v>
      </c>
      <c r="D499" s="4">
        <f t="shared" si="43"/>
        <v>5857899.4043183839</v>
      </c>
      <c r="E499" s="4">
        <f t="shared" si="44"/>
        <v>417828616.57260406</v>
      </c>
      <c r="F499" s="4">
        <f t="shared" si="45"/>
        <v>0</v>
      </c>
      <c r="G499" s="4">
        <f t="shared" si="46"/>
        <v>0</v>
      </c>
      <c r="H499" s="6">
        <f t="shared" si="47"/>
        <v>-41614900333.401169</v>
      </c>
    </row>
    <row r="500" spans="2:8" x14ac:dyDescent="0.3">
      <c r="B500">
        <v>490</v>
      </c>
      <c r="C500" s="4">
        <f t="shared" si="42"/>
        <v>-416149003.33401167</v>
      </c>
      <c r="D500" s="4">
        <f t="shared" si="43"/>
        <v>5857899.4043183839</v>
      </c>
      <c r="E500" s="4">
        <f t="shared" si="44"/>
        <v>422006902.73833007</v>
      </c>
      <c r="F500" s="4">
        <f t="shared" si="45"/>
        <v>0</v>
      </c>
      <c r="G500" s="4">
        <f t="shared" si="46"/>
        <v>0</v>
      </c>
      <c r="H500" s="6">
        <f t="shared" si="47"/>
        <v>-42036907236.139496</v>
      </c>
    </row>
    <row r="501" spans="2:8" x14ac:dyDescent="0.3">
      <c r="B501">
        <v>491</v>
      </c>
      <c r="C501" s="4">
        <f t="shared" si="42"/>
        <v>-420369072.36139494</v>
      </c>
      <c r="D501" s="4">
        <f t="shared" si="43"/>
        <v>5857899.4043183839</v>
      </c>
      <c r="E501" s="4">
        <f t="shared" si="44"/>
        <v>426226971.76571333</v>
      </c>
      <c r="F501" s="4">
        <f t="shared" si="45"/>
        <v>0</v>
      </c>
      <c r="G501" s="4">
        <f t="shared" si="46"/>
        <v>0</v>
      </c>
      <c r="H501" s="6">
        <f t="shared" si="47"/>
        <v>-42463134207.905212</v>
      </c>
    </row>
    <row r="502" spans="2:8" x14ac:dyDescent="0.3">
      <c r="B502">
        <v>492</v>
      </c>
      <c r="C502" s="4">
        <f t="shared" si="42"/>
        <v>-424631342.07905215</v>
      </c>
      <c r="D502" s="4">
        <f t="shared" si="43"/>
        <v>5857899.4043183839</v>
      </c>
      <c r="E502" s="4">
        <f t="shared" si="44"/>
        <v>435489241.48337054</v>
      </c>
      <c r="F502" s="4">
        <f t="shared" si="45"/>
        <v>5000000</v>
      </c>
      <c r="G502" s="4">
        <f t="shared" si="46"/>
        <v>0</v>
      </c>
      <c r="H502" s="6">
        <f t="shared" si="47"/>
        <v>-42898623449.38858</v>
      </c>
    </row>
    <row r="503" spans="2:8" x14ac:dyDescent="0.3">
      <c r="B503">
        <v>493</v>
      </c>
      <c r="C503" s="4">
        <f t="shared" si="42"/>
        <v>-428986234.49388582</v>
      </c>
      <c r="D503" s="4">
        <f t="shared" si="43"/>
        <v>5857899.4043183839</v>
      </c>
      <c r="E503" s="4">
        <f t="shared" si="44"/>
        <v>434844133.89820421</v>
      </c>
      <c r="F503" s="4">
        <f t="shared" si="45"/>
        <v>0</v>
      </c>
      <c r="G503" s="4">
        <f t="shared" si="46"/>
        <v>0</v>
      </c>
      <c r="H503" s="6">
        <f t="shared" si="47"/>
        <v>-43333467583.286781</v>
      </c>
    </row>
    <row r="504" spans="2:8" x14ac:dyDescent="0.3">
      <c r="B504">
        <v>494</v>
      </c>
      <c r="C504" s="4">
        <f t="shared" si="42"/>
        <v>-433334675.8328678</v>
      </c>
      <c r="D504" s="4">
        <f t="shared" si="43"/>
        <v>5857899.4043183839</v>
      </c>
      <c r="E504" s="4">
        <f t="shared" si="44"/>
        <v>439192575.23718619</v>
      </c>
      <c r="F504" s="4">
        <f t="shared" si="45"/>
        <v>0</v>
      </c>
      <c r="G504" s="4">
        <f t="shared" si="46"/>
        <v>0</v>
      </c>
      <c r="H504" s="6">
        <f t="shared" si="47"/>
        <v>-43772660158.523964</v>
      </c>
    </row>
    <row r="505" spans="2:8" x14ac:dyDescent="0.3">
      <c r="B505">
        <v>495</v>
      </c>
      <c r="C505" s="4">
        <f t="shared" si="42"/>
        <v>-437726601.58523965</v>
      </c>
      <c r="D505" s="4">
        <f t="shared" si="43"/>
        <v>5857899.4043183839</v>
      </c>
      <c r="E505" s="4">
        <f t="shared" si="44"/>
        <v>443584500.98955804</v>
      </c>
      <c r="F505" s="4">
        <f t="shared" si="45"/>
        <v>0</v>
      </c>
      <c r="G505" s="4">
        <f t="shared" si="46"/>
        <v>0</v>
      </c>
      <c r="H505" s="6">
        <f t="shared" si="47"/>
        <v>-44216244659.513519</v>
      </c>
    </row>
    <row r="506" spans="2:8" x14ac:dyDescent="0.3">
      <c r="B506">
        <v>496</v>
      </c>
      <c r="C506" s="4">
        <f t="shared" si="42"/>
        <v>-442162446.59513521</v>
      </c>
      <c r="D506" s="4">
        <f t="shared" si="43"/>
        <v>5857899.4043183839</v>
      </c>
      <c r="E506" s="4">
        <f t="shared" si="44"/>
        <v>448020345.9994536</v>
      </c>
      <c r="F506" s="4">
        <f t="shared" si="45"/>
        <v>0</v>
      </c>
      <c r="G506" s="4">
        <f t="shared" si="46"/>
        <v>0</v>
      </c>
      <c r="H506" s="6">
        <f t="shared" si="47"/>
        <v>-44664265005.51297</v>
      </c>
    </row>
    <row r="507" spans="2:8" x14ac:dyDescent="0.3">
      <c r="B507">
        <v>497</v>
      </c>
      <c r="C507" s="4">
        <f t="shared" si="42"/>
        <v>-446642650.05512971</v>
      </c>
      <c r="D507" s="4">
        <f t="shared" si="43"/>
        <v>5857899.4043183839</v>
      </c>
      <c r="E507" s="4">
        <f t="shared" si="44"/>
        <v>452500549.4594481</v>
      </c>
      <c r="F507" s="4">
        <f t="shared" si="45"/>
        <v>0</v>
      </c>
      <c r="G507" s="4">
        <f t="shared" si="46"/>
        <v>0</v>
      </c>
      <c r="H507" s="6">
        <f t="shared" si="47"/>
        <v>-45116765554.97242</v>
      </c>
    </row>
    <row r="508" spans="2:8" x14ac:dyDescent="0.3">
      <c r="B508">
        <v>498</v>
      </c>
      <c r="C508" s="4">
        <f t="shared" si="42"/>
        <v>-451167655.54972422</v>
      </c>
      <c r="D508" s="4">
        <f t="shared" si="43"/>
        <v>5857899.4043183839</v>
      </c>
      <c r="E508" s="4">
        <f t="shared" si="44"/>
        <v>462025554.95404261</v>
      </c>
      <c r="F508" s="4">
        <f t="shared" si="45"/>
        <v>5000000</v>
      </c>
      <c r="G508" s="4">
        <f t="shared" si="46"/>
        <v>0</v>
      </c>
      <c r="H508" s="6">
        <f t="shared" si="47"/>
        <v>-45578791109.92646</v>
      </c>
    </row>
    <row r="509" spans="2:8" x14ac:dyDescent="0.3">
      <c r="B509">
        <v>499</v>
      </c>
      <c r="C509" s="4">
        <f t="shared" si="42"/>
        <v>-455787911.09926462</v>
      </c>
      <c r="D509" s="4">
        <f t="shared" si="43"/>
        <v>5857899.4043183839</v>
      </c>
      <c r="E509" s="4">
        <f t="shared" si="44"/>
        <v>461645810.50358301</v>
      </c>
      <c r="F509" s="4">
        <f t="shared" si="45"/>
        <v>0</v>
      </c>
      <c r="G509" s="4">
        <f t="shared" si="46"/>
        <v>0</v>
      </c>
      <c r="H509" s="6">
        <f t="shared" si="47"/>
        <v>-46040436920.430046</v>
      </c>
    </row>
    <row r="510" spans="2:8" x14ac:dyDescent="0.3">
      <c r="B510">
        <v>500</v>
      </c>
      <c r="C510" s="4">
        <f t="shared" si="42"/>
        <v>-460404369.20430046</v>
      </c>
      <c r="D510" s="4">
        <f t="shared" si="43"/>
        <v>5857899.4043183839</v>
      </c>
      <c r="E510" s="4">
        <f t="shared" si="44"/>
        <v>466262268.60861886</v>
      </c>
      <c r="F510" s="4">
        <f t="shared" si="45"/>
        <v>0</v>
      </c>
      <c r="G510" s="4">
        <f t="shared" si="46"/>
        <v>0</v>
      </c>
      <c r="H510" s="6">
        <f t="shared" si="47"/>
        <v>-46506699189.038666</v>
      </c>
    </row>
    <row r="511" spans="2:8" x14ac:dyDescent="0.3">
      <c r="B511">
        <v>501</v>
      </c>
      <c r="C511" s="4">
        <f t="shared" si="42"/>
        <v>-465066991.89038664</v>
      </c>
      <c r="D511" s="4">
        <f t="shared" si="43"/>
        <v>5857899.4043183839</v>
      </c>
      <c r="E511" s="4">
        <f t="shared" si="44"/>
        <v>470924891.29470503</v>
      </c>
      <c r="F511" s="4">
        <f t="shared" si="45"/>
        <v>0</v>
      </c>
      <c r="G511" s="4">
        <f t="shared" si="46"/>
        <v>0</v>
      </c>
      <c r="H511" s="6">
        <f t="shared" si="47"/>
        <v>-46977624080.333374</v>
      </c>
    </row>
    <row r="512" spans="2:8" x14ac:dyDescent="0.3">
      <c r="B512">
        <v>502</v>
      </c>
      <c r="C512" s="4">
        <f t="shared" si="42"/>
        <v>-469776240.80333376</v>
      </c>
      <c r="D512" s="4">
        <f t="shared" si="43"/>
        <v>5857899.4043183839</v>
      </c>
      <c r="E512" s="4">
        <f t="shared" si="44"/>
        <v>475634140.20765215</v>
      </c>
      <c r="F512" s="4">
        <f t="shared" si="45"/>
        <v>0</v>
      </c>
      <c r="G512" s="4">
        <f t="shared" si="46"/>
        <v>0</v>
      </c>
      <c r="H512" s="6">
        <f t="shared" si="47"/>
        <v>-47453258220.541023</v>
      </c>
    </row>
    <row r="513" spans="2:8" x14ac:dyDescent="0.3">
      <c r="B513">
        <v>503</v>
      </c>
      <c r="C513" s="4">
        <f t="shared" si="42"/>
        <v>-474532582.20541024</v>
      </c>
      <c r="D513" s="4">
        <f t="shared" si="43"/>
        <v>5857899.4043183839</v>
      </c>
      <c r="E513" s="4">
        <f t="shared" si="44"/>
        <v>480390481.60972863</v>
      </c>
      <c r="F513" s="4">
        <f t="shared" si="45"/>
        <v>0</v>
      </c>
      <c r="G513" s="4">
        <f t="shared" si="46"/>
        <v>0</v>
      </c>
      <c r="H513" s="6">
        <f t="shared" si="47"/>
        <v>-47933648702.150749</v>
      </c>
    </row>
    <row r="514" spans="2:8" x14ac:dyDescent="0.3">
      <c r="B514">
        <v>504</v>
      </c>
      <c r="C514" s="4">
        <f t="shared" si="42"/>
        <v>-479336487.0215075</v>
      </c>
      <c r="D514" s="4">
        <f t="shared" si="43"/>
        <v>5857899.4043183839</v>
      </c>
      <c r="E514" s="4">
        <f t="shared" si="44"/>
        <v>490194386.42582589</v>
      </c>
      <c r="F514" s="4">
        <f t="shared" si="45"/>
        <v>5000000</v>
      </c>
      <c r="G514" s="4">
        <f t="shared" si="46"/>
        <v>0</v>
      </c>
      <c r="H514" s="6">
        <f t="shared" si="47"/>
        <v>-48423843088.576576</v>
      </c>
    </row>
    <row r="515" spans="2:8" x14ac:dyDescent="0.3">
      <c r="B515">
        <v>505</v>
      </c>
      <c r="C515" s="4">
        <f t="shared" si="42"/>
        <v>-484238430.88576579</v>
      </c>
      <c r="D515" s="4">
        <f t="shared" si="43"/>
        <v>5857899.4043183839</v>
      </c>
      <c r="E515" s="4">
        <f t="shared" si="44"/>
        <v>490096330.29008418</v>
      </c>
      <c r="F515" s="4">
        <f t="shared" si="45"/>
        <v>0</v>
      </c>
      <c r="G515" s="4">
        <f t="shared" si="46"/>
        <v>0</v>
      </c>
      <c r="H515" s="6">
        <f t="shared" si="47"/>
        <v>-48913939418.866661</v>
      </c>
    </row>
    <row r="516" spans="2:8" x14ac:dyDescent="0.3">
      <c r="B516">
        <v>506</v>
      </c>
      <c r="C516" s="4">
        <f t="shared" si="42"/>
        <v>-489139394.18866664</v>
      </c>
      <c r="D516" s="4">
        <f t="shared" si="43"/>
        <v>5857899.4043183839</v>
      </c>
      <c r="E516" s="4">
        <f t="shared" si="44"/>
        <v>494997293.59298503</v>
      </c>
      <c r="F516" s="4">
        <f t="shared" si="45"/>
        <v>0</v>
      </c>
      <c r="G516" s="4">
        <f t="shared" si="46"/>
        <v>0</v>
      </c>
      <c r="H516" s="6">
        <f t="shared" si="47"/>
        <v>-49408936712.459648</v>
      </c>
    </row>
    <row r="517" spans="2:8" x14ac:dyDescent="0.3">
      <c r="B517">
        <v>507</v>
      </c>
      <c r="C517" s="4">
        <f t="shared" si="42"/>
        <v>-494089367.12459648</v>
      </c>
      <c r="D517" s="4">
        <f t="shared" si="43"/>
        <v>5857899.4043183839</v>
      </c>
      <c r="E517" s="4">
        <f t="shared" si="44"/>
        <v>499947266.52891487</v>
      </c>
      <c r="F517" s="4">
        <f t="shared" si="45"/>
        <v>0</v>
      </c>
      <c r="G517" s="4">
        <f t="shared" si="46"/>
        <v>0</v>
      </c>
      <c r="H517" s="6">
        <f t="shared" si="47"/>
        <v>-49908883978.988564</v>
      </c>
    </row>
    <row r="518" spans="2:8" x14ac:dyDescent="0.3">
      <c r="B518">
        <v>508</v>
      </c>
      <c r="C518" s="4">
        <f t="shared" si="42"/>
        <v>-499088839.78988564</v>
      </c>
      <c r="D518" s="4">
        <f t="shared" si="43"/>
        <v>5857899.4043183839</v>
      </c>
      <c r="E518" s="4">
        <f t="shared" si="44"/>
        <v>504946739.19420403</v>
      </c>
      <c r="F518" s="4">
        <f t="shared" si="45"/>
        <v>0</v>
      </c>
      <c r="G518" s="4">
        <f t="shared" si="46"/>
        <v>0</v>
      </c>
      <c r="H518" s="6">
        <f t="shared" si="47"/>
        <v>-50413830718.18277</v>
      </c>
    </row>
    <row r="519" spans="2:8" x14ac:dyDescent="0.3">
      <c r="B519">
        <v>509</v>
      </c>
      <c r="C519" s="4">
        <f t="shared" si="42"/>
        <v>-504138307.18182772</v>
      </c>
      <c r="D519" s="4">
        <f t="shared" si="43"/>
        <v>5857899.4043183839</v>
      </c>
      <c r="E519" s="4">
        <f t="shared" si="44"/>
        <v>509996206.58614612</v>
      </c>
      <c r="F519" s="4">
        <f t="shared" si="45"/>
        <v>0</v>
      </c>
      <c r="G519" s="4">
        <f t="shared" si="46"/>
        <v>0</v>
      </c>
      <c r="H519" s="6">
        <f t="shared" si="47"/>
        <v>-50923826924.768913</v>
      </c>
    </row>
    <row r="520" spans="2:8" x14ac:dyDescent="0.3">
      <c r="B520">
        <v>510</v>
      </c>
      <c r="C520" s="4">
        <f t="shared" si="42"/>
        <v>-509238269.24768913</v>
      </c>
      <c r="D520" s="4">
        <f t="shared" si="43"/>
        <v>5857899.4043183839</v>
      </c>
      <c r="E520" s="4">
        <f t="shared" si="44"/>
        <v>520096168.65200752</v>
      </c>
      <c r="F520" s="4">
        <f t="shared" si="45"/>
        <v>5000000</v>
      </c>
      <c r="G520" s="4">
        <f t="shared" si="46"/>
        <v>0</v>
      </c>
      <c r="H520" s="6">
        <f t="shared" si="47"/>
        <v>-51443923093.420921</v>
      </c>
    </row>
    <row r="521" spans="2:8" x14ac:dyDescent="0.3">
      <c r="B521">
        <v>511</v>
      </c>
      <c r="C521" s="4">
        <f t="shared" si="42"/>
        <v>-514439230.93420923</v>
      </c>
      <c r="D521" s="4">
        <f t="shared" si="43"/>
        <v>5857899.4043183839</v>
      </c>
      <c r="E521" s="4">
        <f t="shared" si="44"/>
        <v>520297130.33852762</v>
      </c>
      <c r="F521" s="4">
        <f t="shared" si="45"/>
        <v>0</v>
      </c>
      <c r="G521" s="4">
        <f t="shared" si="46"/>
        <v>0</v>
      </c>
      <c r="H521" s="6">
        <f t="shared" si="47"/>
        <v>-51964220223.759445</v>
      </c>
    </row>
    <row r="522" spans="2:8" x14ac:dyDescent="0.3">
      <c r="B522">
        <v>512</v>
      </c>
      <c r="C522" s="4">
        <f t="shared" si="42"/>
        <v>-519642202.23759449</v>
      </c>
      <c r="D522" s="4">
        <f t="shared" si="43"/>
        <v>5857899.4043183839</v>
      </c>
      <c r="E522" s="4">
        <f t="shared" si="44"/>
        <v>525500101.64191288</v>
      </c>
      <c r="F522" s="4">
        <f t="shared" si="45"/>
        <v>0</v>
      </c>
      <c r="G522" s="4">
        <f t="shared" si="46"/>
        <v>0</v>
      </c>
      <c r="H522" s="6">
        <f t="shared" si="47"/>
        <v>-52489720325.40136</v>
      </c>
    </row>
    <row r="523" spans="2:8" x14ac:dyDescent="0.3">
      <c r="B523">
        <v>513</v>
      </c>
      <c r="C523" s="4">
        <f t="shared" si="42"/>
        <v>-524897203.2540136</v>
      </c>
      <c r="D523" s="4">
        <f t="shared" si="43"/>
        <v>5857899.4043183839</v>
      </c>
      <c r="E523" s="4">
        <f t="shared" si="44"/>
        <v>530755102.65833199</v>
      </c>
      <c r="F523" s="4">
        <f t="shared" si="45"/>
        <v>0</v>
      </c>
      <c r="G523" s="4">
        <f t="shared" si="46"/>
        <v>0</v>
      </c>
      <c r="H523" s="6">
        <f t="shared" si="47"/>
        <v>-53020475428.059692</v>
      </c>
    </row>
    <row r="524" spans="2:8" x14ac:dyDescent="0.3">
      <c r="B524">
        <v>514</v>
      </c>
      <c r="C524" s="4">
        <f t="shared" ref="C524:C587" si="48">H523*$C$5</f>
        <v>-530204754.28059691</v>
      </c>
      <c r="D524" s="4">
        <f t="shared" ref="D524:D587" si="49">IF(B524&lt;=$C$6,0,$C$7)</f>
        <v>5857899.4043183839</v>
      </c>
      <c r="E524" s="4">
        <f t="shared" ref="E524:E587" si="50">D524-C524+F524+G524</f>
        <v>536062653.6849153</v>
      </c>
      <c r="F524" s="4">
        <f t="shared" ref="F524:F587" si="51">IF(MOD(B524,$F$3)=0,$F$2,0)</f>
        <v>0</v>
      </c>
      <c r="G524" s="4">
        <f t="shared" ref="G524:G587" si="52">IF(B524=$C$3,$F$4*$C$2,0)</f>
        <v>0</v>
      </c>
      <c r="H524" s="6">
        <f t="shared" ref="H524:H587" si="53">H523-E524</f>
        <v>-53556538081.744606</v>
      </c>
    </row>
    <row r="525" spans="2:8" x14ac:dyDescent="0.3">
      <c r="B525">
        <v>515</v>
      </c>
      <c r="C525" s="4">
        <f t="shared" si="48"/>
        <v>-535565380.81744605</v>
      </c>
      <c r="D525" s="4">
        <f t="shared" si="49"/>
        <v>5857899.4043183839</v>
      </c>
      <c r="E525" s="4">
        <f t="shared" si="50"/>
        <v>541423280.22176445</v>
      </c>
      <c r="F525" s="4">
        <f t="shared" si="51"/>
        <v>0</v>
      </c>
      <c r="G525" s="4">
        <f t="shared" si="52"/>
        <v>0</v>
      </c>
      <c r="H525" s="6">
        <f t="shared" si="53"/>
        <v>-54097961361.96637</v>
      </c>
    </row>
    <row r="526" spans="2:8" x14ac:dyDescent="0.3">
      <c r="B526">
        <v>516</v>
      </c>
      <c r="C526" s="4">
        <f t="shared" si="48"/>
        <v>-540979613.61966372</v>
      </c>
      <c r="D526" s="4">
        <f t="shared" si="49"/>
        <v>5857899.4043183839</v>
      </c>
      <c r="E526" s="4">
        <f t="shared" si="50"/>
        <v>551837513.02398205</v>
      </c>
      <c r="F526" s="4">
        <f t="shared" si="51"/>
        <v>5000000</v>
      </c>
      <c r="G526" s="4">
        <f t="shared" si="52"/>
        <v>0</v>
      </c>
      <c r="H526" s="6">
        <f t="shared" si="53"/>
        <v>-54649798874.990349</v>
      </c>
    </row>
    <row r="527" spans="2:8" x14ac:dyDescent="0.3">
      <c r="B527">
        <v>517</v>
      </c>
      <c r="C527" s="4">
        <f t="shared" si="48"/>
        <v>-546497988.74990344</v>
      </c>
      <c r="D527" s="4">
        <f t="shared" si="49"/>
        <v>5857899.4043183839</v>
      </c>
      <c r="E527" s="4">
        <f t="shared" si="50"/>
        <v>552355888.15422177</v>
      </c>
      <c r="F527" s="4">
        <f t="shared" si="51"/>
        <v>0</v>
      </c>
      <c r="G527" s="4">
        <f t="shared" si="52"/>
        <v>0</v>
      </c>
      <c r="H527" s="6">
        <f t="shared" si="53"/>
        <v>-55202154763.144569</v>
      </c>
    </row>
    <row r="528" spans="2:8" x14ac:dyDescent="0.3">
      <c r="B528">
        <v>518</v>
      </c>
      <c r="C528" s="4">
        <f t="shared" si="48"/>
        <v>-552021547.63144565</v>
      </c>
      <c r="D528" s="4">
        <f t="shared" si="49"/>
        <v>5857899.4043183839</v>
      </c>
      <c r="E528" s="4">
        <f t="shared" si="50"/>
        <v>557879447.03576398</v>
      </c>
      <c r="F528" s="4">
        <f t="shared" si="51"/>
        <v>0</v>
      </c>
      <c r="G528" s="4">
        <f t="shared" si="52"/>
        <v>0</v>
      </c>
      <c r="H528" s="6">
        <f t="shared" si="53"/>
        <v>-55760034210.180336</v>
      </c>
    </row>
    <row r="529" spans="2:8" x14ac:dyDescent="0.3">
      <c r="B529">
        <v>519</v>
      </c>
      <c r="C529" s="4">
        <f t="shared" si="48"/>
        <v>-557600342.10180342</v>
      </c>
      <c r="D529" s="4">
        <f t="shared" si="49"/>
        <v>5857899.4043183839</v>
      </c>
      <c r="E529" s="4">
        <f t="shared" si="50"/>
        <v>563458241.50612175</v>
      </c>
      <c r="F529" s="4">
        <f t="shared" si="51"/>
        <v>0</v>
      </c>
      <c r="G529" s="4">
        <f t="shared" si="52"/>
        <v>0</v>
      </c>
      <c r="H529" s="6">
        <f t="shared" si="53"/>
        <v>-56323492451.686455</v>
      </c>
    </row>
    <row r="530" spans="2:8" x14ac:dyDescent="0.3">
      <c r="B530">
        <v>520</v>
      </c>
      <c r="C530" s="4">
        <f t="shared" si="48"/>
        <v>-563234924.51686454</v>
      </c>
      <c r="D530" s="4">
        <f t="shared" si="49"/>
        <v>5857899.4043183839</v>
      </c>
      <c r="E530" s="4">
        <f t="shared" si="50"/>
        <v>569092823.92118287</v>
      </c>
      <c r="F530" s="4">
        <f t="shared" si="51"/>
        <v>0</v>
      </c>
      <c r="G530" s="4">
        <f t="shared" si="52"/>
        <v>0</v>
      </c>
      <c r="H530" s="6">
        <f t="shared" si="53"/>
        <v>-56892585275.607635</v>
      </c>
    </row>
    <row r="531" spans="2:8" x14ac:dyDescent="0.3">
      <c r="B531">
        <v>521</v>
      </c>
      <c r="C531" s="4">
        <f t="shared" si="48"/>
        <v>-568925852.75607634</v>
      </c>
      <c r="D531" s="4">
        <f t="shared" si="49"/>
        <v>5857899.4043183839</v>
      </c>
      <c r="E531" s="4">
        <f t="shared" si="50"/>
        <v>574783752.16039467</v>
      </c>
      <c r="F531" s="4">
        <f t="shared" si="51"/>
        <v>0</v>
      </c>
      <c r="G531" s="4">
        <f t="shared" si="52"/>
        <v>0</v>
      </c>
      <c r="H531" s="6">
        <f t="shared" si="53"/>
        <v>-57467369027.768028</v>
      </c>
    </row>
    <row r="532" spans="2:8" x14ac:dyDescent="0.3">
      <c r="B532">
        <v>522</v>
      </c>
      <c r="C532" s="4">
        <f t="shared" si="48"/>
        <v>-574673690.27768028</v>
      </c>
      <c r="D532" s="4">
        <f t="shared" si="49"/>
        <v>5857899.4043183839</v>
      </c>
      <c r="E532" s="4">
        <f t="shared" si="50"/>
        <v>585531589.68199861</v>
      </c>
      <c r="F532" s="4">
        <f t="shared" si="51"/>
        <v>5000000</v>
      </c>
      <c r="G532" s="4">
        <f t="shared" si="52"/>
        <v>0</v>
      </c>
      <c r="H532" s="6">
        <f t="shared" si="53"/>
        <v>-58052900617.450027</v>
      </c>
    </row>
    <row r="533" spans="2:8" x14ac:dyDescent="0.3">
      <c r="B533">
        <v>523</v>
      </c>
      <c r="C533" s="4">
        <f t="shared" si="48"/>
        <v>-580529006.17450035</v>
      </c>
      <c r="D533" s="4">
        <f t="shared" si="49"/>
        <v>5857899.4043183839</v>
      </c>
      <c r="E533" s="4">
        <f t="shared" si="50"/>
        <v>586386905.57881868</v>
      </c>
      <c r="F533" s="4">
        <f t="shared" si="51"/>
        <v>0</v>
      </c>
      <c r="G533" s="4">
        <f t="shared" si="52"/>
        <v>0</v>
      </c>
      <c r="H533" s="6">
        <f t="shared" si="53"/>
        <v>-58639287523.028847</v>
      </c>
    </row>
    <row r="534" spans="2:8" x14ac:dyDescent="0.3">
      <c r="B534">
        <v>524</v>
      </c>
      <c r="C534" s="4">
        <f t="shared" si="48"/>
        <v>-586392875.23028851</v>
      </c>
      <c r="D534" s="4">
        <f t="shared" si="49"/>
        <v>5857899.4043183839</v>
      </c>
      <c r="E534" s="4">
        <f t="shared" si="50"/>
        <v>592250774.63460684</v>
      </c>
      <c r="F534" s="4">
        <f t="shared" si="51"/>
        <v>0</v>
      </c>
      <c r="G534" s="4">
        <f t="shared" si="52"/>
        <v>0</v>
      </c>
      <c r="H534" s="6">
        <f t="shared" si="53"/>
        <v>-59231538297.663452</v>
      </c>
    </row>
    <row r="535" spans="2:8" x14ac:dyDescent="0.3">
      <c r="B535">
        <v>525</v>
      </c>
      <c r="C535" s="4">
        <f t="shared" si="48"/>
        <v>-592315382.9766345</v>
      </c>
      <c r="D535" s="4">
        <f t="shared" si="49"/>
        <v>5857899.4043183839</v>
      </c>
      <c r="E535" s="4">
        <f t="shared" si="50"/>
        <v>598173282.38095284</v>
      </c>
      <c r="F535" s="4">
        <f t="shared" si="51"/>
        <v>0</v>
      </c>
      <c r="G535" s="4">
        <f t="shared" si="52"/>
        <v>0</v>
      </c>
      <c r="H535" s="6">
        <f t="shared" si="53"/>
        <v>-59829711580.044403</v>
      </c>
    </row>
    <row r="536" spans="2:8" x14ac:dyDescent="0.3">
      <c r="B536">
        <v>526</v>
      </c>
      <c r="C536" s="4">
        <f t="shared" si="48"/>
        <v>-598297115.80044401</v>
      </c>
      <c r="D536" s="4">
        <f t="shared" si="49"/>
        <v>5857899.4043183839</v>
      </c>
      <c r="E536" s="4">
        <f t="shared" si="50"/>
        <v>604155015.20476234</v>
      </c>
      <c r="F536" s="4">
        <f t="shared" si="51"/>
        <v>0</v>
      </c>
      <c r="G536" s="4">
        <f t="shared" si="52"/>
        <v>0</v>
      </c>
      <c r="H536" s="6">
        <f t="shared" si="53"/>
        <v>-60433866595.249168</v>
      </c>
    </row>
    <row r="537" spans="2:8" x14ac:dyDescent="0.3">
      <c r="B537">
        <v>527</v>
      </c>
      <c r="C537" s="4">
        <f t="shared" si="48"/>
        <v>-604338665.95249164</v>
      </c>
      <c r="D537" s="4">
        <f t="shared" si="49"/>
        <v>5857899.4043183839</v>
      </c>
      <c r="E537" s="4">
        <f t="shared" si="50"/>
        <v>610196565.35680997</v>
      </c>
      <c r="F537" s="4">
        <f t="shared" si="51"/>
        <v>0</v>
      </c>
      <c r="G537" s="4">
        <f t="shared" si="52"/>
        <v>0</v>
      </c>
      <c r="H537" s="6">
        <f t="shared" si="53"/>
        <v>-61044063160.60598</v>
      </c>
    </row>
    <row r="538" spans="2:8" x14ac:dyDescent="0.3">
      <c r="B538">
        <v>528</v>
      </c>
      <c r="C538" s="4">
        <f t="shared" si="48"/>
        <v>-610440631.60605979</v>
      </c>
      <c r="D538" s="4">
        <f t="shared" si="49"/>
        <v>5857899.4043183839</v>
      </c>
      <c r="E538" s="4">
        <f t="shared" si="50"/>
        <v>621298531.01037812</v>
      </c>
      <c r="F538" s="4">
        <f t="shared" si="51"/>
        <v>5000000</v>
      </c>
      <c r="G538" s="4">
        <f t="shared" si="52"/>
        <v>0</v>
      </c>
      <c r="H538" s="6">
        <f t="shared" si="53"/>
        <v>-61665361691.616356</v>
      </c>
    </row>
    <row r="539" spans="2:8" x14ac:dyDescent="0.3">
      <c r="B539">
        <v>529</v>
      </c>
      <c r="C539" s="4">
        <f t="shared" si="48"/>
        <v>-616653616.91616356</v>
      </c>
      <c r="D539" s="4">
        <f t="shared" si="49"/>
        <v>5857899.4043183839</v>
      </c>
      <c r="E539" s="4">
        <f t="shared" si="50"/>
        <v>622511516.3204819</v>
      </c>
      <c r="F539" s="4">
        <f t="shared" si="51"/>
        <v>0</v>
      </c>
      <c r="G539" s="4">
        <f t="shared" si="52"/>
        <v>0</v>
      </c>
      <c r="H539" s="6">
        <f t="shared" si="53"/>
        <v>-62287873207.936836</v>
      </c>
    </row>
    <row r="540" spans="2:8" x14ac:dyDescent="0.3">
      <c r="B540">
        <v>530</v>
      </c>
      <c r="C540" s="4">
        <f t="shared" si="48"/>
        <v>-622878732.07936835</v>
      </c>
      <c r="D540" s="4">
        <f t="shared" si="49"/>
        <v>5857899.4043183839</v>
      </c>
      <c r="E540" s="4">
        <f t="shared" si="50"/>
        <v>628736631.48368669</v>
      </c>
      <c r="F540" s="4">
        <f t="shared" si="51"/>
        <v>0</v>
      </c>
      <c r="G540" s="4">
        <f t="shared" si="52"/>
        <v>0</v>
      </c>
      <c r="H540" s="6">
        <f t="shared" si="53"/>
        <v>-62916609839.420525</v>
      </c>
    </row>
    <row r="541" spans="2:8" x14ac:dyDescent="0.3">
      <c r="B541">
        <v>531</v>
      </c>
      <c r="C541" s="4">
        <f t="shared" si="48"/>
        <v>-629166098.39420521</v>
      </c>
      <c r="D541" s="4">
        <f t="shared" si="49"/>
        <v>5857899.4043183839</v>
      </c>
      <c r="E541" s="4">
        <f t="shared" si="50"/>
        <v>635023997.79852355</v>
      </c>
      <c r="F541" s="4">
        <f t="shared" si="51"/>
        <v>0</v>
      </c>
      <c r="G541" s="4">
        <f t="shared" si="52"/>
        <v>0</v>
      </c>
      <c r="H541" s="6">
        <f t="shared" si="53"/>
        <v>-63551633837.219048</v>
      </c>
    </row>
    <row r="542" spans="2:8" x14ac:dyDescent="0.3">
      <c r="B542">
        <v>532</v>
      </c>
      <c r="C542" s="4">
        <f t="shared" si="48"/>
        <v>-635516338.37219048</v>
      </c>
      <c r="D542" s="4">
        <f t="shared" si="49"/>
        <v>5857899.4043183839</v>
      </c>
      <c r="E542" s="4">
        <f t="shared" si="50"/>
        <v>641374237.77650881</v>
      </c>
      <c r="F542" s="4">
        <f t="shared" si="51"/>
        <v>0</v>
      </c>
      <c r="G542" s="4">
        <f t="shared" si="52"/>
        <v>0</v>
      </c>
      <c r="H542" s="6">
        <f t="shared" si="53"/>
        <v>-64193008074.99556</v>
      </c>
    </row>
    <row r="543" spans="2:8" x14ac:dyDescent="0.3">
      <c r="B543">
        <v>533</v>
      </c>
      <c r="C543" s="4">
        <f t="shared" si="48"/>
        <v>-641930080.74995565</v>
      </c>
      <c r="D543" s="4">
        <f t="shared" si="49"/>
        <v>5857899.4043183839</v>
      </c>
      <c r="E543" s="4">
        <f t="shared" si="50"/>
        <v>647787980.15427399</v>
      </c>
      <c r="F543" s="4">
        <f t="shared" si="51"/>
        <v>0</v>
      </c>
      <c r="G543" s="4">
        <f t="shared" si="52"/>
        <v>0</v>
      </c>
      <c r="H543" s="6">
        <f t="shared" si="53"/>
        <v>-64840796055.149834</v>
      </c>
    </row>
    <row r="544" spans="2:8" x14ac:dyDescent="0.3">
      <c r="B544">
        <v>534</v>
      </c>
      <c r="C544" s="4">
        <f t="shared" si="48"/>
        <v>-648407960.55149829</v>
      </c>
      <c r="D544" s="4">
        <f t="shared" si="49"/>
        <v>5857899.4043183839</v>
      </c>
      <c r="E544" s="4">
        <f t="shared" si="50"/>
        <v>659265859.95581663</v>
      </c>
      <c r="F544" s="4">
        <f t="shared" si="51"/>
        <v>5000000</v>
      </c>
      <c r="G544" s="4">
        <f t="shared" si="52"/>
        <v>0</v>
      </c>
      <c r="H544" s="6">
        <f t="shared" si="53"/>
        <v>-65500061915.105652</v>
      </c>
    </row>
    <row r="545" spans="2:8" x14ac:dyDescent="0.3">
      <c r="B545">
        <v>535</v>
      </c>
      <c r="C545" s="4">
        <f t="shared" si="48"/>
        <v>-655000619.15105653</v>
      </c>
      <c r="D545" s="4">
        <f t="shared" si="49"/>
        <v>5857899.4043183839</v>
      </c>
      <c r="E545" s="4">
        <f t="shared" si="50"/>
        <v>660858518.55537486</v>
      </c>
      <c r="F545" s="4">
        <f t="shared" si="51"/>
        <v>0</v>
      </c>
      <c r="G545" s="4">
        <f t="shared" si="52"/>
        <v>0</v>
      </c>
      <c r="H545" s="6">
        <f t="shared" si="53"/>
        <v>-66160920433.661026</v>
      </c>
    </row>
    <row r="546" spans="2:8" x14ac:dyDescent="0.3">
      <c r="B546">
        <v>536</v>
      </c>
      <c r="C546" s="4">
        <f t="shared" si="48"/>
        <v>-661609204.33661032</v>
      </c>
      <c r="D546" s="4">
        <f t="shared" si="49"/>
        <v>5857899.4043183839</v>
      </c>
      <c r="E546" s="4">
        <f t="shared" si="50"/>
        <v>667467103.74092865</v>
      </c>
      <c r="F546" s="4">
        <f t="shared" si="51"/>
        <v>0</v>
      </c>
      <c r="G546" s="4">
        <f t="shared" si="52"/>
        <v>0</v>
      </c>
      <c r="H546" s="6">
        <f t="shared" si="53"/>
        <v>-66828387537.401955</v>
      </c>
    </row>
    <row r="547" spans="2:8" x14ac:dyDescent="0.3">
      <c r="B547">
        <v>537</v>
      </c>
      <c r="C547" s="4">
        <f t="shared" si="48"/>
        <v>-668283875.3740195</v>
      </c>
      <c r="D547" s="4">
        <f t="shared" si="49"/>
        <v>5857899.4043183839</v>
      </c>
      <c r="E547" s="4">
        <f t="shared" si="50"/>
        <v>674141774.77833784</v>
      </c>
      <c r="F547" s="4">
        <f t="shared" si="51"/>
        <v>0</v>
      </c>
      <c r="G547" s="4">
        <f t="shared" si="52"/>
        <v>0</v>
      </c>
      <c r="H547" s="6">
        <f t="shared" si="53"/>
        <v>-67502529312.18029</v>
      </c>
    </row>
    <row r="548" spans="2:8" x14ac:dyDescent="0.3">
      <c r="B548">
        <v>538</v>
      </c>
      <c r="C548" s="4">
        <f t="shared" si="48"/>
        <v>-675025293.12180293</v>
      </c>
      <c r="D548" s="4">
        <f t="shared" si="49"/>
        <v>5857899.4043183839</v>
      </c>
      <c r="E548" s="4">
        <f t="shared" si="50"/>
        <v>680883192.52612126</v>
      </c>
      <c r="F548" s="4">
        <f t="shared" si="51"/>
        <v>0</v>
      </c>
      <c r="G548" s="4">
        <f t="shared" si="52"/>
        <v>0</v>
      </c>
      <c r="H548" s="6">
        <f t="shared" si="53"/>
        <v>-68183412504.706413</v>
      </c>
    </row>
    <row r="549" spans="2:8" x14ac:dyDescent="0.3">
      <c r="B549">
        <v>539</v>
      </c>
      <c r="C549" s="4">
        <f t="shared" si="48"/>
        <v>-681834125.04706419</v>
      </c>
      <c r="D549" s="4">
        <f t="shared" si="49"/>
        <v>5857899.4043183839</v>
      </c>
      <c r="E549" s="4">
        <f t="shared" si="50"/>
        <v>687692024.45138252</v>
      </c>
      <c r="F549" s="4">
        <f t="shared" si="51"/>
        <v>0</v>
      </c>
      <c r="G549" s="4">
        <f t="shared" si="52"/>
        <v>0</v>
      </c>
      <c r="H549" s="6">
        <f t="shared" si="53"/>
        <v>-68871104529.157791</v>
      </c>
    </row>
    <row r="550" spans="2:8" x14ac:dyDescent="0.3">
      <c r="B550">
        <v>540</v>
      </c>
      <c r="C550" s="4">
        <f t="shared" si="48"/>
        <v>-688711045.29157794</v>
      </c>
      <c r="D550" s="4">
        <f t="shared" si="49"/>
        <v>5857899.4043183839</v>
      </c>
      <c r="E550" s="4">
        <f t="shared" si="50"/>
        <v>699568944.69589627</v>
      </c>
      <c r="F550" s="4">
        <f t="shared" si="51"/>
        <v>5000000</v>
      </c>
      <c r="G550" s="4">
        <f t="shared" si="52"/>
        <v>0</v>
      </c>
      <c r="H550" s="6">
        <f t="shared" si="53"/>
        <v>-69570673473.853683</v>
      </c>
    </row>
    <row r="551" spans="2:8" x14ac:dyDescent="0.3">
      <c r="B551">
        <v>541</v>
      </c>
      <c r="C551" s="4">
        <f t="shared" si="48"/>
        <v>-695706734.73853683</v>
      </c>
      <c r="D551" s="4">
        <f t="shared" si="49"/>
        <v>5857899.4043183839</v>
      </c>
      <c r="E551" s="4">
        <f t="shared" si="50"/>
        <v>701564634.14285517</v>
      </c>
      <c r="F551" s="4">
        <f t="shared" si="51"/>
        <v>0</v>
      </c>
      <c r="G551" s="4">
        <f t="shared" si="52"/>
        <v>0</v>
      </c>
      <c r="H551" s="6">
        <f t="shared" si="53"/>
        <v>-70272238107.996536</v>
      </c>
    </row>
    <row r="552" spans="2:8" x14ac:dyDescent="0.3">
      <c r="B552">
        <v>542</v>
      </c>
      <c r="C552" s="4">
        <f t="shared" si="48"/>
        <v>-702722381.07996535</v>
      </c>
      <c r="D552" s="4">
        <f t="shared" si="49"/>
        <v>5857899.4043183839</v>
      </c>
      <c r="E552" s="4">
        <f t="shared" si="50"/>
        <v>708580280.48428369</v>
      </c>
      <c r="F552" s="4">
        <f t="shared" si="51"/>
        <v>0</v>
      </c>
      <c r="G552" s="4">
        <f t="shared" si="52"/>
        <v>0</v>
      </c>
      <c r="H552" s="6">
        <f t="shared" si="53"/>
        <v>-70980818388.48082</v>
      </c>
    </row>
    <row r="553" spans="2:8" x14ac:dyDescent="0.3">
      <c r="B553">
        <v>543</v>
      </c>
      <c r="C553" s="4">
        <f t="shared" si="48"/>
        <v>-709808183.88480818</v>
      </c>
      <c r="D553" s="4">
        <f t="shared" si="49"/>
        <v>5857899.4043183839</v>
      </c>
      <c r="E553" s="4">
        <f t="shared" si="50"/>
        <v>715666083.28912652</v>
      </c>
      <c r="F553" s="4">
        <f t="shared" si="51"/>
        <v>0</v>
      </c>
      <c r="G553" s="4">
        <f t="shared" si="52"/>
        <v>0</v>
      </c>
      <c r="H553" s="6">
        <f t="shared" si="53"/>
        <v>-71696484471.769943</v>
      </c>
    </row>
    <row r="554" spans="2:8" x14ac:dyDescent="0.3">
      <c r="B554">
        <v>544</v>
      </c>
      <c r="C554" s="4">
        <f t="shared" si="48"/>
        <v>-716964844.71769941</v>
      </c>
      <c r="D554" s="4">
        <f t="shared" si="49"/>
        <v>5857899.4043183839</v>
      </c>
      <c r="E554" s="4">
        <f t="shared" si="50"/>
        <v>722822744.12201774</v>
      </c>
      <c r="F554" s="4">
        <f t="shared" si="51"/>
        <v>0</v>
      </c>
      <c r="G554" s="4">
        <f t="shared" si="52"/>
        <v>0</v>
      </c>
      <c r="H554" s="6">
        <f t="shared" si="53"/>
        <v>-72419307215.891968</v>
      </c>
    </row>
    <row r="555" spans="2:8" x14ac:dyDescent="0.3">
      <c r="B555">
        <v>545</v>
      </c>
      <c r="C555" s="4">
        <f t="shared" si="48"/>
        <v>-724193072.15891969</v>
      </c>
      <c r="D555" s="4">
        <f t="shared" si="49"/>
        <v>5857899.4043183839</v>
      </c>
      <c r="E555" s="4">
        <f t="shared" si="50"/>
        <v>730050971.56323802</v>
      </c>
      <c r="F555" s="4">
        <f t="shared" si="51"/>
        <v>0</v>
      </c>
      <c r="G555" s="4">
        <f t="shared" si="52"/>
        <v>0</v>
      </c>
      <c r="H555" s="6">
        <f t="shared" si="53"/>
        <v>-73149358187.4552</v>
      </c>
    </row>
    <row r="556" spans="2:8" x14ac:dyDescent="0.3">
      <c r="B556">
        <v>546</v>
      </c>
      <c r="C556" s="4">
        <f t="shared" si="48"/>
        <v>-731493581.87455201</v>
      </c>
      <c r="D556" s="4">
        <f t="shared" si="49"/>
        <v>5857899.4043183839</v>
      </c>
      <c r="E556" s="4">
        <f t="shared" si="50"/>
        <v>742351481.27887034</v>
      </c>
      <c r="F556" s="4">
        <f t="shared" si="51"/>
        <v>5000000</v>
      </c>
      <c r="G556" s="4">
        <f t="shared" si="52"/>
        <v>0</v>
      </c>
      <c r="H556" s="6">
        <f t="shared" si="53"/>
        <v>-73891709668.73407</v>
      </c>
    </row>
    <row r="557" spans="2:8" x14ac:dyDescent="0.3">
      <c r="B557">
        <v>547</v>
      </c>
      <c r="C557" s="4">
        <f t="shared" si="48"/>
        <v>-738917096.68734074</v>
      </c>
      <c r="D557" s="4">
        <f t="shared" si="49"/>
        <v>5857899.4043183839</v>
      </c>
      <c r="E557" s="4">
        <f t="shared" si="50"/>
        <v>744774996.09165907</v>
      </c>
      <c r="F557" s="4">
        <f t="shared" si="51"/>
        <v>0</v>
      </c>
      <c r="G557" s="4">
        <f t="shared" si="52"/>
        <v>0</v>
      </c>
      <c r="H557" s="6">
        <f t="shared" si="53"/>
        <v>-74636484664.825729</v>
      </c>
    </row>
    <row r="558" spans="2:8" x14ac:dyDescent="0.3">
      <c r="B558">
        <v>548</v>
      </c>
      <c r="C558" s="4">
        <f t="shared" si="48"/>
        <v>-746364846.64825726</v>
      </c>
      <c r="D558" s="4">
        <f t="shared" si="49"/>
        <v>5857899.4043183839</v>
      </c>
      <c r="E558" s="4">
        <f t="shared" si="50"/>
        <v>752222746.05257559</v>
      </c>
      <c r="F558" s="4">
        <f t="shared" si="51"/>
        <v>0</v>
      </c>
      <c r="G558" s="4">
        <f t="shared" si="52"/>
        <v>0</v>
      </c>
      <c r="H558" s="6">
        <f t="shared" si="53"/>
        <v>-75388707410.878311</v>
      </c>
    </row>
    <row r="559" spans="2:8" x14ac:dyDescent="0.3">
      <c r="B559">
        <v>549</v>
      </c>
      <c r="C559" s="4">
        <f t="shared" si="48"/>
        <v>-753887074.10878313</v>
      </c>
      <c r="D559" s="4">
        <f t="shared" si="49"/>
        <v>5857899.4043183839</v>
      </c>
      <c r="E559" s="4">
        <f t="shared" si="50"/>
        <v>759744973.51310146</v>
      </c>
      <c r="F559" s="4">
        <f t="shared" si="51"/>
        <v>0</v>
      </c>
      <c r="G559" s="4">
        <f t="shared" si="52"/>
        <v>0</v>
      </c>
      <c r="H559" s="6">
        <f t="shared" si="53"/>
        <v>-76148452384.391418</v>
      </c>
    </row>
    <row r="560" spans="2:8" x14ac:dyDescent="0.3">
      <c r="B560">
        <v>550</v>
      </c>
      <c r="C560" s="4">
        <f t="shared" si="48"/>
        <v>-761484523.84391415</v>
      </c>
      <c r="D560" s="4">
        <f t="shared" si="49"/>
        <v>5857899.4043183839</v>
      </c>
      <c r="E560" s="4">
        <f t="shared" si="50"/>
        <v>767342423.24823248</v>
      </c>
      <c r="F560" s="4">
        <f t="shared" si="51"/>
        <v>0</v>
      </c>
      <c r="G560" s="4">
        <f t="shared" si="52"/>
        <v>0</v>
      </c>
      <c r="H560" s="6">
        <f t="shared" si="53"/>
        <v>-76915794807.639648</v>
      </c>
    </row>
    <row r="561" spans="2:8" x14ac:dyDescent="0.3">
      <c r="B561">
        <v>551</v>
      </c>
      <c r="C561" s="4">
        <f t="shared" si="48"/>
        <v>-769157948.07639647</v>
      </c>
      <c r="D561" s="4">
        <f t="shared" si="49"/>
        <v>5857899.4043183839</v>
      </c>
      <c r="E561" s="4">
        <f t="shared" si="50"/>
        <v>775015847.4807148</v>
      </c>
      <c r="F561" s="4">
        <f t="shared" si="51"/>
        <v>0</v>
      </c>
      <c r="G561" s="4">
        <f t="shared" si="52"/>
        <v>0</v>
      </c>
      <c r="H561" s="6">
        <f t="shared" si="53"/>
        <v>-77690810655.120361</v>
      </c>
    </row>
    <row r="562" spans="2:8" x14ac:dyDescent="0.3">
      <c r="B562">
        <v>552</v>
      </c>
      <c r="C562" s="4">
        <f t="shared" si="48"/>
        <v>-776908106.55120361</v>
      </c>
      <c r="D562" s="4">
        <f t="shared" si="49"/>
        <v>5857899.4043183839</v>
      </c>
      <c r="E562" s="4">
        <f t="shared" si="50"/>
        <v>787766005.95552194</v>
      </c>
      <c r="F562" s="4">
        <f t="shared" si="51"/>
        <v>5000000</v>
      </c>
      <c r="G562" s="4">
        <f t="shared" si="52"/>
        <v>0</v>
      </c>
      <c r="H562" s="6">
        <f t="shared" si="53"/>
        <v>-78478576661.075882</v>
      </c>
    </row>
    <row r="563" spans="2:8" x14ac:dyDescent="0.3">
      <c r="B563">
        <v>553</v>
      </c>
      <c r="C563" s="4">
        <f t="shared" si="48"/>
        <v>-784785766.61075878</v>
      </c>
      <c r="D563" s="4">
        <f t="shared" si="49"/>
        <v>5857899.4043183839</v>
      </c>
      <c r="E563" s="4">
        <f t="shared" si="50"/>
        <v>790643666.01507711</v>
      </c>
      <c r="F563" s="4">
        <f t="shared" si="51"/>
        <v>0</v>
      </c>
      <c r="G563" s="4">
        <f t="shared" si="52"/>
        <v>0</v>
      </c>
      <c r="H563" s="6">
        <f t="shared" si="53"/>
        <v>-79269220327.090958</v>
      </c>
    </row>
    <row r="564" spans="2:8" x14ac:dyDescent="0.3">
      <c r="B564">
        <v>554</v>
      </c>
      <c r="C564" s="4">
        <f t="shared" si="48"/>
        <v>-792692203.27090955</v>
      </c>
      <c r="D564" s="4">
        <f t="shared" si="49"/>
        <v>5857899.4043183839</v>
      </c>
      <c r="E564" s="4">
        <f t="shared" si="50"/>
        <v>798550102.67522788</v>
      </c>
      <c r="F564" s="4">
        <f t="shared" si="51"/>
        <v>0</v>
      </c>
      <c r="G564" s="4">
        <f t="shared" si="52"/>
        <v>0</v>
      </c>
      <c r="H564" s="6">
        <f t="shared" si="53"/>
        <v>-80067770429.76619</v>
      </c>
    </row>
    <row r="565" spans="2:8" x14ac:dyDescent="0.3">
      <c r="B565">
        <v>555</v>
      </c>
      <c r="C565" s="4">
        <f t="shared" si="48"/>
        <v>-800677704.2976619</v>
      </c>
      <c r="D565" s="4">
        <f t="shared" si="49"/>
        <v>5857899.4043183839</v>
      </c>
      <c r="E565" s="4">
        <f t="shared" si="50"/>
        <v>806535603.70198023</v>
      </c>
      <c r="F565" s="4">
        <f t="shared" si="51"/>
        <v>0</v>
      </c>
      <c r="G565" s="4">
        <f t="shared" si="52"/>
        <v>0</v>
      </c>
      <c r="H565" s="6">
        <f t="shared" si="53"/>
        <v>-80874306033.46817</v>
      </c>
    </row>
    <row r="566" spans="2:8" x14ac:dyDescent="0.3">
      <c r="B566">
        <v>556</v>
      </c>
      <c r="C566" s="4">
        <f t="shared" si="48"/>
        <v>-808743060.33468175</v>
      </c>
      <c r="D566" s="4">
        <f t="shared" si="49"/>
        <v>5857899.4043183839</v>
      </c>
      <c r="E566" s="4">
        <f t="shared" si="50"/>
        <v>814600959.73900008</v>
      </c>
      <c r="F566" s="4">
        <f t="shared" si="51"/>
        <v>0</v>
      </c>
      <c r="G566" s="4">
        <f t="shared" si="52"/>
        <v>0</v>
      </c>
      <c r="H566" s="6">
        <f t="shared" si="53"/>
        <v>-81688906993.207169</v>
      </c>
    </row>
    <row r="567" spans="2:8" x14ac:dyDescent="0.3">
      <c r="B567">
        <v>557</v>
      </c>
      <c r="C567" s="4">
        <f t="shared" si="48"/>
        <v>-816889069.93207169</v>
      </c>
      <c r="D567" s="4">
        <f t="shared" si="49"/>
        <v>5857899.4043183839</v>
      </c>
      <c r="E567" s="4">
        <f t="shared" si="50"/>
        <v>822746969.33639002</v>
      </c>
      <c r="F567" s="4">
        <f t="shared" si="51"/>
        <v>0</v>
      </c>
      <c r="G567" s="4">
        <f t="shared" si="52"/>
        <v>0</v>
      </c>
      <c r="H567" s="6">
        <f t="shared" si="53"/>
        <v>-82511653962.543564</v>
      </c>
    </row>
    <row r="568" spans="2:8" x14ac:dyDescent="0.3">
      <c r="B568">
        <v>558</v>
      </c>
      <c r="C568" s="4">
        <f t="shared" si="48"/>
        <v>-825116539.62543571</v>
      </c>
      <c r="D568" s="4">
        <f t="shared" si="49"/>
        <v>5857899.4043183839</v>
      </c>
      <c r="E568" s="4">
        <f t="shared" si="50"/>
        <v>835974439.02975404</v>
      </c>
      <c r="F568" s="4">
        <f t="shared" si="51"/>
        <v>5000000</v>
      </c>
      <c r="G568" s="4">
        <f t="shared" si="52"/>
        <v>0</v>
      </c>
      <c r="H568" s="6">
        <f t="shared" si="53"/>
        <v>-83347628401.573318</v>
      </c>
    </row>
    <row r="569" spans="2:8" x14ac:dyDescent="0.3">
      <c r="B569">
        <v>559</v>
      </c>
      <c r="C569" s="4">
        <f t="shared" si="48"/>
        <v>-833476284.01573324</v>
      </c>
      <c r="D569" s="4">
        <f t="shared" si="49"/>
        <v>5857899.4043183839</v>
      </c>
      <c r="E569" s="4">
        <f t="shared" si="50"/>
        <v>839334183.42005157</v>
      </c>
      <c r="F569" s="4">
        <f t="shared" si="51"/>
        <v>0</v>
      </c>
      <c r="G569" s="4">
        <f t="shared" si="52"/>
        <v>0</v>
      </c>
      <c r="H569" s="6">
        <f t="shared" si="53"/>
        <v>-84186962584.993378</v>
      </c>
    </row>
    <row r="570" spans="2:8" x14ac:dyDescent="0.3">
      <c r="B570">
        <v>560</v>
      </c>
      <c r="C570" s="4">
        <f t="shared" si="48"/>
        <v>-841869625.84993374</v>
      </c>
      <c r="D570" s="4">
        <f t="shared" si="49"/>
        <v>5857899.4043183839</v>
      </c>
      <c r="E570" s="4">
        <f t="shared" si="50"/>
        <v>847727525.25425208</v>
      </c>
      <c r="F570" s="4">
        <f t="shared" si="51"/>
        <v>0</v>
      </c>
      <c r="G570" s="4">
        <f t="shared" si="52"/>
        <v>0</v>
      </c>
      <c r="H570" s="6">
        <f t="shared" si="53"/>
        <v>-85034690110.247635</v>
      </c>
    </row>
    <row r="571" spans="2:8" x14ac:dyDescent="0.3">
      <c r="B571">
        <v>561</v>
      </c>
      <c r="C571" s="4">
        <f t="shared" si="48"/>
        <v>-850346901.10247636</v>
      </c>
      <c r="D571" s="4">
        <f t="shared" si="49"/>
        <v>5857899.4043183839</v>
      </c>
      <c r="E571" s="4">
        <f t="shared" si="50"/>
        <v>856204800.50679469</v>
      </c>
      <c r="F571" s="4">
        <f t="shared" si="51"/>
        <v>0</v>
      </c>
      <c r="G571" s="4">
        <f t="shared" si="52"/>
        <v>0</v>
      </c>
      <c r="H571" s="6">
        <f t="shared" si="53"/>
        <v>-85890894910.754425</v>
      </c>
    </row>
    <row r="572" spans="2:8" x14ac:dyDescent="0.3">
      <c r="B572">
        <v>562</v>
      </c>
      <c r="C572" s="4">
        <f t="shared" si="48"/>
        <v>-858908949.1075443</v>
      </c>
      <c r="D572" s="4">
        <f t="shared" si="49"/>
        <v>5857899.4043183839</v>
      </c>
      <c r="E572" s="4">
        <f t="shared" si="50"/>
        <v>864766848.51186264</v>
      </c>
      <c r="F572" s="4">
        <f t="shared" si="51"/>
        <v>0</v>
      </c>
      <c r="G572" s="4">
        <f t="shared" si="52"/>
        <v>0</v>
      </c>
      <c r="H572" s="6">
        <f t="shared" si="53"/>
        <v>-86755661759.266281</v>
      </c>
    </row>
    <row r="573" spans="2:8" x14ac:dyDescent="0.3">
      <c r="B573">
        <v>563</v>
      </c>
      <c r="C573" s="4">
        <f t="shared" si="48"/>
        <v>-867556617.59266281</v>
      </c>
      <c r="D573" s="4">
        <f t="shared" si="49"/>
        <v>5857899.4043183839</v>
      </c>
      <c r="E573" s="4">
        <f t="shared" si="50"/>
        <v>873414516.99698114</v>
      </c>
      <c r="F573" s="4">
        <f t="shared" si="51"/>
        <v>0</v>
      </c>
      <c r="G573" s="4">
        <f t="shared" si="52"/>
        <v>0</v>
      </c>
      <c r="H573" s="6">
        <f t="shared" si="53"/>
        <v>-87629076276.26326</v>
      </c>
    </row>
    <row r="574" spans="2:8" x14ac:dyDescent="0.3">
      <c r="B574">
        <v>564</v>
      </c>
      <c r="C574" s="4">
        <f t="shared" si="48"/>
        <v>-876290762.76263261</v>
      </c>
      <c r="D574" s="4">
        <f t="shared" si="49"/>
        <v>5857899.4043183839</v>
      </c>
      <c r="E574" s="4">
        <f t="shared" si="50"/>
        <v>887148662.16695094</v>
      </c>
      <c r="F574" s="4">
        <f t="shared" si="51"/>
        <v>5000000</v>
      </c>
      <c r="G574" s="4">
        <f t="shared" si="52"/>
        <v>0</v>
      </c>
      <c r="H574" s="6">
        <f t="shared" si="53"/>
        <v>-88516224938.430206</v>
      </c>
    </row>
    <row r="575" spans="2:8" x14ac:dyDescent="0.3">
      <c r="B575">
        <v>565</v>
      </c>
      <c r="C575" s="4">
        <f t="shared" si="48"/>
        <v>-885162249.38430214</v>
      </c>
      <c r="D575" s="4">
        <f t="shared" si="49"/>
        <v>5857899.4043183839</v>
      </c>
      <c r="E575" s="4">
        <f t="shared" si="50"/>
        <v>891020148.78862047</v>
      </c>
      <c r="F575" s="4">
        <f t="shared" si="51"/>
        <v>0</v>
      </c>
      <c r="G575" s="4">
        <f t="shared" si="52"/>
        <v>0</v>
      </c>
      <c r="H575" s="6">
        <f t="shared" si="53"/>
        <v>-89407245087.218826</v>
      </c>
    </row>
    <row r="576" spans="2:8" x14ac:dyDescent="0.3">
      <c r="B576">
        <v>566</v>
      </c>
      <c r="C576" s="4">
        <f t="shared" si="48"/>
        <v>-894072450.87218833</v>
      </c>
      <c r="D576" s="4">
        <f t="shared" si="49"/>
        <v>5857899.4043183839</v>
      </c>
      <c r="E576" s="4">
        <f t="shared" si="50"/>
        <v>899930350.27650666</v>
      </c>
      <c r="F576" s="4">
        <f t="shared" si="51"/>
        <v>0</v>
      </c>
      <c r="G576" s="4">
        <f t="shared" si="52"/>
        <v>0</v>
      </c>
      <c r="H576" s="6">
        <f t="shared" si="53"/>
        <v>-90307175437.495331</v>
      </c>
    </row>
    <row r="577" spans="2:8" x14ac:dyDescent="0.3">
      <c r="B577">
        <v>567</v>
      </c>
      <c r="C577" s="4">
        <f t="shared" si="48"/>
        <v>-903071754.37495327</v>
      </c>
      <c r="D577" s="4">
        <f t="shared" si="49"/>
        <v>5857899.4043183839</v>
      </c>
      <c r="E577" s="4">
        <f t="shared" si="50"/>
        <v>908929653.7792716</v>
      </c>
      <c r="F577" s="4">
        <f t="shared" si="51"/>
        <v>0</v>
      </c>
      <c r="G577" s="4">
        <f t="shared" si="52"/>
        <v>0</v>
      </c>
      <c r="H577" s="6">
        <f t="shared" si="53"/>
        <v>-91216105091.274597</v>
      </c>
    </row>
    <row r="578" spans="2:8" x14ac:dyDescent="0.3">
      <c r="B578">
        <v>568</v>
      </c>
      <c r="C578" s="4">
        <f t="shared" si="48"/>
        <v>-912161050.91274595</v>
      </c>
      <c r="D578" s="4">
        <f t="shared" si="49"/>
        <v>5857899.4043183839</v>
      </c>
      <c r="E578" s="4">
        <f t="shared" si="50"/>
        <v>918018950.31706429</v>
      </c>
      <c r="F578" s="4">
        <f t="shared" si="51"/>
        <v>0</v>
      </c>
      <c r="G578" s="4">
        <f t="shared" si="52"/>
        <v>0</v>
      </c>
      <c r="H578" s="6">
        <f t="shared" si="53"/>
        <v>-92134124041.59166</v>
      </c>
    </row>
    <row r="579" spans="2:8" x14ac:dyDescent="0.3">
      <c r="B579">
        <v>569</v>
      </c>
      <c r="C579" s="4">
        <f t="shared" si="48"/>
        <v>-921341240.41591656</v>
      </c>
      <c r="D579" s="4">
        <f t="shared" si="49"/>
        <v>5857899.4043183839</v>
      </c>
      <c r="E579" s="4">
        <f t="shared" si="50"/>
        <v>927199139.82023489</v>
      </c>
      <c r="F579" s="4">
        <f t="shared" si="51"/>
        <v>0</v>
      </c>
      <c r="G579" s="4">
        <f t="shared" si="52"/>
        <v>0</v>
      </c>
      <c r="H579" s="6">
        <f t="shared" si="53"/>
        <v>-93061323181.411896</v>
      </c>
    </row>
    <row r="580" spans="2:8" x14ac:dyDescent="0.3">
      <c r="B580">
        <v>570</v>
      </c>
      <c r="C580" s="4">
        <f t="shared" si="48"/>
        <v>-930613231.81411898</v>
      </c>
      <c r="D580" s="4">
        <f t="shared" si="49"/>
        <v>5857899.4043183839</v>
      </c>
      <c r="E580" s="4">
        <f t="shared" si="50"/>
        <v>941471131.21843731</v>
      </c>
      <c r="F580" s="4">
        <f t="shared" si="51"/>
        <v>5000000</v>
      </c>
      <c r="G580" s="4">
        <f t="shared" si="52"/>
        <v>0</v>
      </c>
      <c r="H580" s="6">
        <f t="shared" si="53"/>
        <v>-94002794312.630341</v>
      </c>
    </row>
    <row r="581" spans="2:8" x14ac:dyDescent="0.3">
      <c r="B581">
        <v>571</v>
      </c>
      <c r="C581" s="4">
        <f t="shared" si="48"/>
        <v>-940027943.12630343</v>
      </c>
      <c r="D581" s="4">
        <f t="shared" si="49"/>
        <v>5857899.4043183839</v>
      </c>
      <c r="E581" s="4">
        <f t="shared" si="50"/>
        <v>945885842.53062177</v>
      </c>
      <c r="F581" s="4">
        <f t="shared" si="51"/>
        <v>0</v>
      </c>
      <c r="G581" s="4">
        <f t="shared" si="52"/>
        <v>0</v>
      </c>
      <c r="H581" s="6">
        <f t="shared" si="53"/>
        <v>-94948680155.160965</v>
      </c>
    </row>
    <row r="582" spans="2:8" x14ac:dyDescent="0.3">
      <c r="B582">
        <v>572</v>
      </c>
      <c r="C582" s="4">
        <f t="shared" si="48"/>
        <v>-949486801.55160964</v>
      </c>
      <c r="D582" s="4">
        <f t="shared" si="49"/>
        <v>5857899.4043183839</v>
      </c>
      <c r="E582" s="4">
        <f t="shared" si="50"/>
        <v>955344700.95592797</v>
      </c>
      <c r="F582" s="4">
        <f t="shared" si="51"/>
        <v>0</v>
      </c>
      <c r="G582" s="4">
        <f t="shared" si="52"/>
        <v>0</v>
      </c>
      <c r="H582" s="6">
        <f t="shared" si="53"/>
        <v>-95904024856.116898</v>
      </c>
    </row>
    <row r="583" spans="2:8" x14ac:dyDescent="0.3">
      <c r="B583">
        <v>573</v>
      </c>
      <c r="C583" s="4">
        <f t="shared" si="48"/>
        <v>-959040248.56116903</v>
      </c>
      <c r="D583" s="4">
        <f t="shared" si="49"/>
        <v>5857899.4043183839</v>
      </c>
      <c r="E583" s="4">
        <f t="shared" si="50"/>
        <v>964898147.96548736</v>
      </c>
      <c r="F583" s="4">
        <f t="shared" si="51"/>
        <v>0</v>
      </c>
      <c r="G583" s="4">
        <f t="shared" si="52"/>
        <v>0</v>
      </c>
      <c r="H583" s="6">
        <f t="shared" si="53"/>
        <v>-96868923004.082382</v>
      </c>
    </row>
    <row r="584" spans="2:8" x14ac:dyDescent="0.3">
      <c r="B584">
        <v>574</v>
      </c>
      <c r="C584" s="4">
        <f t="shared" si="48"/>
        <v>-968689230.04082382</v>
      </c>
      <c r="D584" s="4">
        <f t="shared" si="49"/>
        <v>5857899.4043183839</v>
      </c>
      <c r="E584" s="4">
        <f t="shared" si="50"/>
        <v>974547129.44514215</v>
      </c>
      <c r="F584" s="4">
        <f t="shared" si="51"/>
        <v>0</v>
      </c>
      <c r="G584" s="4">
        <f t="shared" si="52"/>
        <v>0</v>
      </c>
      <c r="H584" s="6">
        <f t="shared" si="53"/>
        <v>-97843470133.527527</v>
      </c>
    </row>
    <row r="585" spans="2:8" x14ac:dyDescent="0.3">
      <c r="B585">
        <v>575</v>
      </c>
      <c r="C585" s="4">
        <f t="shared" si="48"/>
        <v>-978434701.33527529</v>
      </c>
      <c r="D585" s="4">
        <f t="shared" si="49"/>
        <v>5857899.4043183839</v>
      </c>
      <c r="E585" s="4">
        <f t="shared" si="50"/>
        <v>984292600.73959363</v>
      </c>
      <c r="F585" s="4">
        <f t="shared" si="51"/>
        <v>0</v>
      </c>
      <c r="G585" s="4">
        <f t="shared" si="52"/>
        <v>0</v>
      </c>
      <c r="H585" s="6">
        <f t="shared" si="53"/>
        <v>-98827762734.26712</v>
      </c>
    </row>
    <row r="586" spans="2:8" x14ac:dyDescent="0.3">
      <c r="B586">
        <v>576</v>
      </c>
      <c r="C586" s="4">
        <f t="shared" si="48"/>
        <v>-988277627.34267128</v>
      </c>
      <c r="D586" s="4">
        <f t="shared" si="49"/>
        <v>5857899.4043183839</v>
      </c>
      <c r="E586" s="4">
        <f t="shared" si="50"/>
        <v>999135526.74698961</v>
      </c>
      <c r="F586" s="4">
        <f t="shared" si="51"/>
        <v>5000000</v>
      </c>
      <c r="G586" s="4">
        <f t="shared" si="52"/>
        <v>0</v>
      </c>
      <c r="H586" s="6">
        <f t="shared" si="53"/>
        <v>-99826898261.014114</v>
      </c>
    </row>
    <row r="587" spans="2:8" x14ac:dyDescent="0.3">
      <c r="B587">
        <v>577</v>
      </c>
      <c r="C587" s="4">
        <f t="shared" si="48"/>
        <v>-998268982.61014116</v>
      </c>
      <c r="D587" s="4">
        <f t="shared" si="49"/>
        <v>5857899.4043183839</v>
      </c>
      <c r="E587" s="4">
        <f t="shared" si="50"/>
        <v>1004126882.0144595</v>
      </c>
      <c r="F587" s="4">
        <f t="shared" si="51"/>
        <v>0</v>
      </c>
      <c r="G587" s="4">
        <f t="shared" si="52"/>
        <v>0</v>
      </c>
      <c r="H587" s="6">
        <f t="shared" si="53"/>
        <v>-100831025143.02858</v>
      </c>
    </row>
    <row r="588" spans="2:8" x14ac:dyDescent="0.3">
      <c r="B588">
        <v>578</v>
      </c>
      <c r="C588" s="4">
        <f t="shared" ref="C588:C610" si="54">H587*$C$5</f>
        <v>-1008310251.4302858</v>
      </c>
      <c r="D588" s="4">
        <f t="shared" ref="D588:D610" si="55">IF(B588&lt;=$C$6,0,$C$7)</f>
        <v>5857899.4043183839</v>
      </c>
      <c r="E588" s="4">
        <f t="shared" ref="E588:E610" si="56">D588-C588+F588+G588</f>
        <v>1014168150.8346041</v>
      </c>
      <c r="F588" s="4">
        <f t="shared" ref="F588:F610" si="57">IF(MOD(B588,$F$3)=0,$F$2,0)</f>
        <v>0</v>
      </c>
      <c r="G588" s="4">
        <f t="shared" ref="G588:G610" si="58">IF(B588=$C$3,$F$4*$C$2,0)</f>
        <v>0</v>
      </c>
      <c r="H588" s="6">
        <f t="shared" ref="H588:H610" si="59">H587-E588</f>
        <v>-101845193293.86319</v>
      </c>
    </row>
    <row r="589" spans="2:8" x14ac:dyDescent="0.3">
      <c r="B589">
        <v>579</v>
      </c>
      <c r="C589" s="4">
        <f t="shared" si="54"/>
        <v>-1018451932.9386319</v>
      </c>
      <c r="D589" s="4">
        <f t="shared" si="55"/>
        <v>5857899.4043183839</v>
      </c>
      <c r="E589" s="4">
        <f t="shared" si="56"/>
        <v>1024309832.3429502</v>
      </c>
      <c r="F589" s="4">
        <f t="shared" si="57"/>
        <v>0</v>
      </c>
      <c r="G589" s="4">
        <f t="shared" si="58"/>
        <v>0</v>
      </c>
      <c r="H589" s="6">
        <f t="shared" si="59"/>
        <v>-102869503126.20615</v>
      </c>
    </row>
    <row r="590" spans="2:8" x14ac:dyDescent="0.3">
      <c r="B590">
        <v>580</v>
      </c>
      <c r="C590" s="4">
        <f t="shared" si="54"/>
        <v>-1028695031.2620615</v>
      </c>
      <c r="D590" s="4">
        <f t="shared" si="55"/>
        <v>5857899.4043183839</v>
      </c>
      <c r="E590" s="4">
        <f t="shared" si="56"/>
        <v>1034552930.6663798</v>
      </c>
      <c r="F590" s="4">
        <f t="shared" si="57"/>
        <v>0</v>
      </c>
      <c r="G590" s="4">
        <f t="shared" si="58"/>
        <v>0</v>
      </c>
      <c r="H590" s="6">
        <f t="shared" si="59"/>
        <v>-103904056056.87253</v>
      </c>
    </row>
    <row r="591" spans="2:8" x14ac:dyDescent="0.3">
      <c r="B591">
        <v>581</v>
      </c>
      <c r="C591" s="4">
        <f t="shared" si="54"/>
        <v>-1039040560.5687253</v>
      </c>
      <c r="D591" s="4">
        <f t="shared" si="55"/>
        <v>5857899.4043183839</v>
      </c>
      <c r="E591" s="4">
        <f t="shared" si="56"/>
        <v>1044898459.9730437</v>
      </c>
      <c r="F591" s="4">
        <f t="shared" si="57"/>
        <v>0</v>
      </c>
      <c r="G591" s="4">
        <f t="shared" si="58"/>
        <v>0</v>
      </c>
      <c r="H591" s="6">
        <f t="shared" si="59"/>
        <v>-104948954516.84557</v>
      </c>
    </row>
    <row r="592" spans="2:8" x14ac:dyDescent="0.3">
      <c r="B592">
        <v>582</v>
      </c>
      <c r="C592" s="4">
        <f t="shared" si="54"/>
        <v>-1049489545.1684557</v>
      </c>
      <c r="D592" s="4">
        <f t="shared" si="55"/>
        <v>5857899.4043183839</v>
      </c>
      <c r="E592" s="4">
        <f t="shared" si="56"/>
        <v>1060347444.5727741</v>
      </c>
      <c r="F592" s="4">
        <f t="shared" si="57"/>
        <v>5000000</v>
      </c>
      <c r="G592" s="4">
        <f t="shared" si="58"/>
        <v>0</v>
      </c>
      <c r="H592" s="6">
        <f t="shared" si="59"/>
        <v>-106009301961.41833</v>
      </c>
    </row>
    <row r="593" spans="2:8" x14ac:dyDescent="0.3">
      <c r="B593">
        <v>583</v>
      </c>
      <c r="C593" s="4">
        <f t="shared" si="54"/>
        <v>-1060093019.6141834</v>
      </c>
      <c r="D593" s="4">
        <f t="shared" si="55"/>
        <v>5857899.4043183839</v>
      </c>
      <c r="E593" s="4">
        <f t="shared" si="56"/>
        <v>1065950919.0185018</v>
      </c>
      <c r="F593" s="4">
        <f t="shared" si="57"/>
        <v>0</v>
      </c>
      <c r="G593" s="4">
        <f t="shared" si="58"/>
        <v>0</v>
      </c>
      <c r="H593" s="6">
        <f t="shared" si="59"/>
        <v>-107075252880.43684</v>
      </c>
    </row>
    <row r="594" spans="2:8" x14ac:dyDescent="0.3">
      <c r="B594">
        <v>584</v>
      </c>
      <c r="C594" s="4">
        <f t="shared" si="54"/>
        <v>-1070752528.8043685</v>
      </c>
      <c r="D594" s="4">
        <f t="shared" si="55"/>
        <v>5857899.4043183839</v>
      </c>
      <c r="E594" s="4">
        <f t="shared" si="56"/>
        <v>1076610428.2086868</v>
      </c>
      <c r="F594" s="4">
        <f t="shared" si="57"/>
        <v>0</v>
      </c>
      <c r="G594" s="4">
        <f t="shared" si="58"/>
        <v>0</v>
      </c>
      <c r="H594" s="6">
        <f t="shared" si="59"/>
        <v>-108151863308.64554</v>
      </c>
    </row>
    <row r="595" spans="2:8" x14ac:dyDescent="0.3">
      <c r="B595">
        <v>585</v>
      </c>
      <c r="C595" s="4">
        <f t="shared" si="54"/>
        <v>-1081518633.0864553</v>
      </c>
      <c r="D595" s="4">
        <f t="shared" si="55"/>
        <v>5857899.4043183839</v>
      </c>
      <c r="E595" s="4">
        <f t="shared" si="56"/>
        <v>1087376532.4907737</v>
      </c>
      <c r="F595" s="4">
        <f t="shared" si="57"/>
        <v>0</v>
      </c>
      <c r="G595" s="4">
        <f t="shared" si="58"/>
        <v>0</v>
      </c>
      <c r="H595" s="6">
        <f t="shared" si="59"/>
        <v>-109239239841.13631</v>
      </c>
    </row>
    <row r="596" spans="2:8" x14ac:dyDescent="0.3">
      <c r="B596">
        <v>586</v>
      </c>
      <c r="C596" s="4">
        <f t="shared" si="54"/>
        <v>-1092392398.4113631</v>
      </c>
      <c r="D596" s="4">
        <f t="shared" si="55"/>
        <v>5857899.4043183839</v>
      </c>
      <c r="E596" s="4">
        <f t="shared" si="56"/>
        <v>1098250297.8156815</v>
      </c>
      <c r="F596" s="4">
        <f t="shared" si="57"/>
        <v>0</v>
      </c>
      <c r="G596" s="4">
        <f t="shared" si="58"/>
        <v>0</v>
      </c>
      <c r="H596" s="6">
        <f t="shared" si="59"/>
        <v>-110337490138.952</v>
      </c>
    </row>
    <row r="597" spans="2:8" x14ac:dyDescent="0.3">
      <c r="B597">
        <v>587</v>
      </c>
      <c r="C597" s="4">
        <f t="shared" si="54"/>
        <v>-1103374901.3895199</v>
      </c>
      <c r="D597" s="4">
        <f t="shared" si="55"/>
        <v>5857899.4043183839</v>
      </c>
      <c r="E597" s="4">
        <f t="shared" si="56"/>
        <v>1109232800.7938383</v>
      </c>
      <c r="F597" s="4">
        <f t="shared" si="57"/>
        <v>0</v>
      </c>
      <c r="G597" s="4">
        <f t="shared" si="58"/>
        <v>0</v>
      </c>
      <c r="H597" s="6">
        <f t="shared" si="59"/>
        <v>-111446722939.74583</v>
      </c>
    </row>
    <row r="598" spans="2:8" x14ac:dyDescent="0.3">
      <c r="B598">
        <v>588</v>
      </c>
      <c r="C598" s="4">
        <f t="shared" si="54"/>
        <v>-1114467229.3974583</v>
      </c>
      <c r="D598" s="4">
        <f t="shared" si="55"/>
        <v>5857899.4043183839</v>
      </c>
      <c r="E598" s="4">
        <f t="shared" si="56"/>
        <v>1125325128.8017766</v>
      </c>
      <c r="F598" s="4">
        <f t="shared" si="57"/>
        <v>5000000</v>
      </c>
      <c r="G598" s="4">
        <f t="shared" si="58"/>
        <v>0</v>
      </c>
      <c r="H598" s="6">
        <f t="shared" si="59"/>
        <v>-112572048068.54761</v>
      </c>
    </row>
    <row r="599" spans="2:8" x14ac:dyDescent="0.3">
      <c r="B599">
        <v>589</v>
      </c>
      <c r="C599" s="4">
        <f t="shared" si="54"/>
        <v>-1125720480.6854761</v>
      </c>
      <c r="D599" s="4">
        <f t="shared" si="55"/>
        <v>5857899.4043183839</v>
      </c>
      <c r="E599" s="4">
        <f t="shared" si="56"/>
        <v>1131578380.0897944</v>
      </c>
      <c r="F599" s="4">
        <f t="shared" si="57"/>
        <v>0</v>
      </c>
      <c r="G599" s="4">
        <f t="shared" si="58"/>
        <v>0</v>
      </c>
      <c r="H599" s="6">
        <f t="shared" si="59"/>
        <v>-113703626448.63741</v>
      </c>
    </row>
    <row r="600" spans="2:8" x14ac:dyDescent="0.3">
      <c r="B600">
        <v>590</v>
      </c>
      <c r="C600" s="4">
        <f t="shared" si="54"/>
        <v>-1137036264.4863741</v>
      </c>
      <c r="D600" s="4">
        <f t="shared" si="55"/>
        <v>5857899.4043183839</v>
      </c>
      <c r="E600" s="4">
        <f t="shared" si="56"/>
        <v>1142894163.8906925</v>
      </c>
      <c r="F600" s="4">
        <f t="shared" si="57"/>
        <v>0</v>
      </c>
      <c r="G600" s="4">
        <f t="shared" si="58"/>
        <v>0</v>
      </c>
      <c r="H600" s="6">
        <f t="shared" si="59"/>
        <v>-114846520612.52809</v>
      </c>
    </row>
    <row r="601" spans="2:8" x14ac:dyDescent="0.3">
      <c r="B601">
        <v>591</v>
      </c>
      <c r="C601" s="4">
        <f t="shared" si="54"/>
        <v>-1148465206.1252809</v>
      </c>
      <c r="D601" s="4">
        <f t="shared" si="55"/>
        <v>5857899.4043183839</v>
      </c>
      <c r="E601" s="4">
        <f t="shared" si="56"/>
        <v>1154323105.5295992</v>
      </c>
      <c r="F601" s="4">
        <f t="shared" si="57"/>
        <v>0</v>
      </c>
      <c r="G601" s="4">
        <f t="shared" si="58"/>
        <v>0</v>
      </c>
      <c r="H601" s="6">
        <f t="shared" si="59"/>
        <v>-116000843718.05769</v>
      </c>
    </row>
    <row r="602" spans="2:8" x14ac:dyDescent="0.3">
      <c r="B602">
        <v>592</v>
      </c>
      <c r="C602" s="4">
        <f t="shared" si="54"/>
        <v>-1160008437.180577</v>
      </c>
      <c r="D602" s="4">
        <f t="shared" si="55"/>
        <v>5857899.4043183839</v>
      </c>
      <c r="E602" s="4">
        <f t="shared" si="56"/>
        <v>1165866336.5848954</v>
      </c>
      <c r="F602" s="4">
        <f t="shared" si="57"/>
        <v>0</v>
      </c>
      <c r="G602" s="4">
        <f t="shared" si="58"/>
        <v>0</v>
      </c>
      <c r="H602" s="6">
        <f t="shared" si="59"/>
        <v>-117166710054.64259</v>
      </c>
    </row>
    <row r="603" spans="2:8" x14ac:dyDescent="0.3">
      <c r="B603">
        <v>593</v>
      </c>
      <c r="C603" s="4">
        <f t="shared" si="54"/>
        <v>-1171667100.5464261</v>
      </c>
      <c r="D603" s="4">
        <f t="shared" si="55"/>
        <v>5857899.4043183839</v>
      </c>
      <c r="E603" s="4">
        <f t="shared" si="56"/>
        <v>1177524999.9507444</v>
      </c>
      <c r="F603" s="4">
        <f t="shared" si="57"/>
        <v>0</v>
      </c>
      <c r="G603" s="4">
        <f t="shared" si="58"/>
        <v>0</v>
      </c>
      <c r="H603" s="6">
        <f t="shared" si="59"/>
        <v>-118344235054.59334</v>
      </c>
    </row>
    <row r="604" spans="2:8" x14ac:dyDescent="0.3">
      <c r="B604">
        <v>594</v>
      </c>
      <c r="C604" s="4">
        <f t="shared" si="54"/>
        <v>-1183442350.5459335</v>
      </c>
      <c r="D604" s="4">
        <f t="shared" si="55"/>
        <v>5857899.4043183839</v>
      </c>
      <c r="E604" s="4">
        <f t="shared" si="56"/>
        <v>1194300249.9502518</v>
      </c>
      <c r="F604" s="4">
        <f t="shared" si="57"/>
        <v>5000000</v>
      </c>
      <c r="G604" s="4">
        <f t="shared" si="58"/>
        <v>0</v>
      </c>
      <c r="H604" s="6">
        <f t="shared" si="59"/>
        <v>-119538535304.54359</v>
      </c>
    </row>
    <row r="605" spans="2:8" x14ac:dyDescent="0.3">
      <c r="B605">
        <v>595</v>
      </c>
      <c r="C605" s="4">
        <f t="shared" si="54"/>
        <v>-1195385353.0454359</v>
      </c>
      <c r="D605" s="4">
        <f t="shared" si="55"/>
        <v>5857899.4043183839</v>
      </c>
      <c r="E605" s="4">
        <f t="shared" si="56"/>
        <v>1201243252.4497542</v>
      </c>
      <c r="F605" s="4">
        <f t="shared" si="57"/>
        <v>0</v>
      </c>
      <c r="G605" s="4">
        <f t="shared" si="58"/>
        <v>0</v>
      </c>
      <c r="H605" s="6">
        <f t="shared" si="59"/>
        <v>-120739778556.99335</v>
      </c>
    </row>
    <row r="606" spans="2:8" x14ac:dyDescent="0.3">
      <c r="B606">
        <v>596</v>
      </c>
      <c r="C606" s="4">
        <f t="shared" si="54"/>
        <v>-1207397785.5699334</v>
      </c>
      <c r="D606" s="4">
        <f t="shared" si="55"/>
        <v>5857899.4043183839</v>
      </c>
      <c r="E606" s="4">
        <f t="shared" si="56"/>
        <v>1213255684.9742517</v>
      </c>
      <c r="F606" s="4">
        <f t="shared" si="57"/>
        <v>0</v>
      </c>
      <c r="G606" s="4">
        <f t="shared" si="58"/>
        <v>0</v>
      </c>
      <c r="H606" s="6">
        <f t="shared" si="59"/>
        <v>-121953034241.96761</v>
      </c>
    </row>
    <row r="607" spans="2:8" x14ac:dyDescent="0.3">
      <c r="B607">
        <v>597</v>
      </c>
      <c r="C607" s="4">
        <f t="shared" si="54"/>
        <v>-1219530342.4196761</v>
      </c>
      <c r="D607" s="4">
        <f t="shared" si="55"/>
        <v>5857899.4043183839</v>
      </c>
      <c r="E607" s="4">
        <f t="shared" si="56"/>
        <v>1225388241.8239944</v>
      </c>
      <c r="F607" s="4">
        <f t="shared" si="57"/>
        <v>0</v>
      </c>
      <c r="G607" s="4">
        <f t="shared" si="58"/>
        <v>0</v>
      </c>
      <c r="H607" s="6">
        <f t="shared" si="59"/>
        <v>-123178422483.7916</v>
      </c>
    </row>
    <row r="608" spans="2:8" x14ac:dyDescent="0.3">
      <c r="B608">
        <v>598</v>
      </c>
      <c r="C608" s="4">
        <f t="shared" si="54"/>
        <v>-1231784224.8379159</v>
      </c>
      <c r="D608" s="4">
        <f t="shared" si="55"/>
        <v>5857899.4043183839</v>
      </c>
      <c r="E608" s="4">
        <f t="shared" si="56"/>
        <v>1237642124.2422342</v>
      </c>
      <c r="F608" s="4">
        <f t="shared" si="57"/>
        <v>0</v>
      </c>
      <c r="G608" s="4">
        <f t="shared" si="58"/>
        <v>0</v>
      </c>
      <c r="H608" s="6">
        <f t="shared" si="59"/>
        <v>-124416064608.03383</v>
      </c>
    </row>
    <row r="609" spans="2:8" x14ac:dyDescent="0.3">
      <c r="B609">
        <v>599</v>
      </c>
      <c r="C609" s="4">
        <f t="shared" si="54"/>
        <v>-1244160646.0803382</v>
      </c>
      <c r="D609" s="4">
        <f t="shared" si="55"/>
        <v>5857899.4043183839</v>
      </c>
      <c r="E609" s="4">
        <f t="shared" si="56"/>
        <v>1250018545.4846566</v>
      </c>
      <c r="F609" s="4">
        <f t="shared" si="57"/>
        <v>0</v>
      </c>
      <c r="G609" s="4">
        <f t="shared" si="58"/>
        <v>0</v>
      </c>
      <c r="H609" s="6">
        <f t="shared" si="59"/>
        <v>-125666083153.51848</v>
      </c>
    </row>
    <row r="610" spans="2:8" x14ac:dyDescent="0.3">
      <c r="B610">
        <v>600</v>
      </c>
      <c r="C610" s="4">
        <f t="shared" si="54"/>
        <v>-1256660831.5351849</v>
      </c>
      <c r="D610" s="4">
        <f t="shared" si="55"/>
        <v>5857899.4043183839</v>
      </c>
      <c r="E610" s="4">
        <f t="shared" si="56"/>
        <v>1267518730.9395032</v>
      </c>
      <c r="F610" s="4">
        <f t="shared" si="57"/>
        <v>5000000</v>
      </c>
      <c r="G610" s="4">
        <f t="shared" si="58"/>
        <v>0</v>
      </c>
      <c r="H610" s="6">
        <f t="shared" si="59"/>
        <v>-126933601884.45798</v>
      </c>
    </row>
  </sheetData>
  <conditionalFormatting sqref="B10:H610">
    <cfRule type="expression" dxfId="5" priority="1">
      <formula>$B10&gt;$C$3</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8D27D-F3B9-45F6-ADAF-A1BA4E3E0187}">
  <dimension ref="B2:W610"/>
  <sheetViews>
    <sheetView topLeftCell="J1" workbookViewId="0">
      <selection activeCell="W19" sqref="W19"/>
    </sheetView>
  </sheetViews>
  <sheetFormatPr baseColWidth="10" defaultRowHeight="14.4" x14ac:dyDescent="0.3"/>
  <cols>
    <col min="3" max="3" width="14.33203125" bestFit="1" customWidth="1"/>
    <col min="4" max="4" width="11.88671875" bestFit="1" customWidth="1"/>
    <col min="5" max="5" width="15" bestFit="1" customWidth="1"/>
    <col min="6" max="6" width="15.33203125" bestFit="1" customWidth="1"/>
    <col min="7" max="7" width="16.44140625" bestFit="1" customWidth="1"/>
    <col min="8" max="8" width="2.6640625" style="22" customWidth="1"/>
    <col min="11" max="11" width="14.33203125" bestFit="1" customWidth="1"/>
    <col min="12" max="12" width="15.33203125" bestFit="1" customWidth="1"/>
    <col min="13" max="13" width="13" bestFit="1" customWidth="1"/>
    <col min="14" max="14" width="15.33203125" bestFit="1" customWidth="1"/>
    <col min="15" max="15" width="16.44140625" bestFit="1" customWidth="1"/>
    <col min="21" max="21" width="12.21875" bestFit="1" customWidth="1"/>
    <col min="22" max="22" width="13.88671875" bestFit="1" customWidth="1"/>
    <col min="23" max="23" width="11.88671875" bestFit="1" customWidth="1"/>
  </cols>
  <sheetData>
    <row r="2" spans="2:23" x14ac:dyDescent="0.3">
      <c r="B2" t="s">
        <v>0</v>
      </c>
      <c r="C2" s="4">
        <v>140000000</v>
      </c>
      <c r="E2" t="s">
        <v>33</v>
      </c>
      <c r="F2" s="4">
        <v>500000</v>
      </c>
      <c r="I2" s="24"/>
    </row>
    <row r="3" spans="2:23" x14ac:dyDescent="0.3">
      <c r="B3" t="s">
        <v>31</v>
      </c>
      <c r="C3" s="2">
        <v>1.0999999999999999E-2</v>
      </c>
      <c r="E3" t="s">
        <v>34</v>
      </c>
      <c r="F3">
        <v>12</v>
      </c>
      <c r="K3" t="s">
        <v>40</v>
      </c>
      <c r="L3" s="18">
        <f>C4-F3</f>
        <v>48</v>
      </c>
      <c r="M3">
        <v>47.734751736452388</v>
      </c>
      <c r="N3" t="s">
        <v>44</v>
      </c>
      <c r="O3">
        <f>ROUNDUP(M3+F3,0)</f>
        <v>60</v>
      </c>
      <c r="U3" t="s">
        <v>45</v>
      </c>
      <c r="V3" s="6">
        <f>SUM(C10:C69)</f>
        <v>51840677.614170864</v>
      </c>
      <c r="W3" s="6">
        <f>V3-V4</f>
        <v>199083.60939735919</v>
      </c>
    </row>
    <row r="4" spans="2:23" x14ac:dyDescent="0.3">
      <c r="B4" t="s">
        <v>32</v>
      </c>
      <c r="C4" s="18">
        <v>60</v>
      </c>
      <c r="E4" s="16"/>
      <c r="K4" t="s">
        <v>41</v>
      </c>
      <c r="L4" s="16">
        <f>PV(C3,M3,-C5)</f>
        <v>118332317.32004021</v>
      </c>
      <c r="U4" t="s">
        <v>46</v>
      </c>
      <c r="V4" s="6">
        <f>SUM(L11:L610)</f>
        <v>51641594.004773505</v>
      </c>
    </row>
    <row r="5" spans="2:23" x14ac:dyDescent="0.3">
      <c r="B5" t="s">
        <v>22</v>
      </c>
      <c r="C5" s="19">
        <f>PMT(C3,C4,-C2)</f>
        <v>3199782.0404930986</v>
      </c>
      <c r="K5" t="s">
        <v>42</v>
      </c>
      <c r="L5" s="4">
        <f>_xlfn.XLOOKUP(F3,J9:J610,O9:O610,0,0)</f>
        <v>118332317.32004139</v>
      </c>
    </row>
    <row r="6" spans="2:23" x14ac:dyDescent="0.3">
      <c r="K6" t="s">
        <v>43</v>
      </c>
      <c r="L6" s="19">
        <f>L4-L5</f>
        <v>-1.1771917343139648E-6</v>
      </c>
    </row>
    <row r="7" spans="2:23" x14ac:dyDescent="0.3">
      <c r="B7" t="s">
        <v>37</v>
      </c>
      <c r="D7" s="15" t="s">
        <v>38</v>
      </c>
      <c r="E7" s="15"/>
      <c r="F7" s="16">
        <f>PMT(C3,C4-F3,-G27)</f>
        <v>2873332.904764635</v>
      </c>
    </row>
    <row r="8" spans="2:23" x14ac:dyDescent="0.3">
      <c r="B8" t="s">
        <v>3</v>
      </c>
      <c r="C8" t="s">
        <v>4</v>
      </c>
      <c r="D8" t="s">
        <v>5</v>
      </c>
      <c r="E8" t="s">
        <v>6</v>
      </c>
      <c r="F8" t="s">
        <v>26</v>
      </c>
      <c r="G8" t="s">
        <v>35</v>
      </c>
      <c r="H8" s="22" t="s">
        <v>39</v>
      </c>
      <c r="J8" t="s">
        <v>36</v>
      </c>
      <c r="M8" s="20"/>
      <c r="N8" s="21"/>
    </row>
    <row r="9" spans="2:23" x14ac:dyDescent="0.3">
      <c r="B9">
        <v>0</v>
      </c>
      <c r="G9" s="6">
        <f>C2</f>
        <v>140000000</v>
      </c>
      <c r="H9" s="23"/>
      <c r="J9" t="s">
        <v>3</v>
      </c>
      <c r="K9" t="s">
        <v>5</v>
      </c>
      <c r="L9" t="s">
        <v>47</v>
      </c>
      <c r="M9" t="s">
        <v>6</v>
      </c>
      <c r="N9" t="s">
        <v>33</v>
      </c>
      <c r="O9" t="s">
        <v>35</v>
      </c>
    </row>
    <row r="10" spans="2:23" x14ac:dyDescent="0.3">
      <c r="B10">
        <v>1</v>
      </c>
      <c r="C10" s="6">
        <f>G9*$C$3</f>
        <v>1540000</v>
      </c>
      <c r="D10" s="6">
        <f>IF(H9&gt;0,PMT($C$3,$C$4-B9,-G9),$C$5)</f>
        <v>3199782.0404930986</v>
      </c>
      <c r="E10" s="6">
        <f>D10-C10</f>
        <v>1659782.0404930986</v>
      </c>
      <c r="F10" s="6">
        <f>IF(B10=$F$3,$F$2,0)</f>
        <v>0</v>
      </c>
      <c r="G10" s="6">
        <f>G9-E10-F10</f>
        <v>138340217.9595069</v>
      </c>
      <c r="H10" s="23">
        <f>F10</f>
        <v>0</v>
      </c>
      <c r="J10">
        <v>0</v>
      </c>
      <c r="O10" s="4">
        <f>C2</f>
        <v>140000000</v>
      </c>
    </row>
    <row r="11" spans="2:23" x14ac:dyDescent="0.3">
      <c r="B11">
        <v>2</v>
      </c>
      <c r="C11" s="6">
        <f t="shared" ref="C11:C69" si="0">G10*$C$3</f>
        <v>1521742.3975545757</v>
      </c>
      <c r="D11" s="6">
        <f t="shared" ref="D11:D69" si="1">IF(H10&gt;0,PMT($C$3,$C$4-B10,-G10),$C$5)</f>
        <v>3199782.0404930986</v>
      </c>
      <c r="E11" s="6">
        <f t="shared" ref="E11:E69" si="2">D11-C11</f>
        <v>1678039.6429385229</v>
      </c>
      <c r="F11" s="6">
        <f t="shared" ref="F11:F69" si="3">IF(B11=$F$3,$F$2,0)</f>
        <v>0</v>
      </c>
      <c r="G11" s="6">
        <f t="shared" ref="G11:G69" si="4">G10-E11-F11</f>
        <v>136662178.31656837</v>
      </c>
      <c r="H11" s="23">
        <f>F11+H10</f>
        <v>0</v>
      </c>
      <c r="J11">
        <v>1</v>
      </c>
      <c r="K11" s="4">
        <f>IF(J11&gt;($M$3+$F$3),L11+M11,$C$5)</f>
        <v>3199782.0404930986</v>
      </c>
      <c r="L11" s="4">
        <f>O10*$C$3</f>
        <v>1540000</v>
      </c>
      <c r="M11" s="4">
        <f>IF(J11&lt;($M$3+$F$3),K11-L11,O10)</f>
        <v>1659782.0404930986</v>
      </c>
      <c r="N11" s="4">
        <f>IF(B10=$F$3,$F$2,0)</f>
        <v>0</v>
      </c>
      <c r="O11" s="4">
        <f>O10-M11-N11</f>
        <v>138340217.9595069</v>
      </c>
    </row>
    <row r="12" spans="2:23" x14ac:dyDescent="0.3">
      <c r="B12">
        <v>3</v>
      </c>
      <c r="C12" s="6">
        <f t="shared" si="0"/>
        <v>1503283.961482252</v>
      </c>
      <c r="D12" s="6">
        <f t="shared" si="1"/>
        <v>3199782.0404930986</v>
      </c>
      <c r="E12" s="6">
        <f t="shared" si="2"/>
        <v>1696498.0790108466</v>
      </c>
      <c r="F12" s="6">
        <f t="shared" si="3"/>
        <v>0</v>
      </c>
      <c r="G12" s="6">
        <f t="shared" si="4"/>
        <v>134965680.23755753</v>
      </c>
      <c r="H12" s="23">
        <f t="shared" ref="H12:H69" si="5">F12+H11</f>
        <v>0</v>
      </c>
      <c r="J12">
        <v>2</v>
      </c>
      <c r="K12" s="4">
        <f t="shared" ref="K12:K75" si="6">IF(J12&gt;($M$3+$F$3),L12+M12,$C$5)</f>
        <v>3199782.0404930986</v>
      </c>
      <c r="L12" s="4">
        <f t="shared" ref="L12:L75" si="7">O11*$C$3</f>
        <v>1521742.3975545757</v>
      </c>
      <c r="M12" s="4">
        <f t="shared" ref="M12:M75" si="8">IF(J12&lt;($M$3+$F$3),K12-L12,O11)</f>
        <v>1678039.6429385229</v>
      </c>
      <c r="N12" s="4">
        <f t="shared" ref="N12:N75" si="9">IF(B11=$F$3,$F$2,0)</f>
        <v>0</v>
      </c>
      <c r="O12" s="4">
        <f t="shared" ref="O12:O75" si="10">O11-M12-N12</f>
        <v>136662178.31656837</v>
      </c>
    </row>
    <row r="13" spans="2:23" x14ac:dyDescent="0.3">
      <c r="B13">
        <v>4</v>
      </c>
      <c r="C13" s="6">
        <f t="shared" si="0"/>
        <v>1484622.4826131328</v>
      </c>
      <c r="D13" s="6">
        <f t="shared" si="1"/>
        <v>3199782.0404930986</v>
      </c>
      <c r="E13" s="6">
        <f t="shared" si="2"/>
        <v>1715159.5578799658</v>
      </c>
      <c r="F13" s="6">
        <f t="shared" si="3"/>
        <v>0</v>
      </c>
      <c r="G13" s="6">
        <f t="shared" si="4"/>
        <v>133250520.67967756</v>
      </c>
      <c r="H13" s="23">
        <f t="shared" si="5"/>
        <v>0</v>
      </c>
      <c r="J13">
        <v>3</v>
      </c>
      <c r="K13" s="4">
        <f t="shared" si="6"/>
        <v>3199782.0404930986</v>
      </c>
      <c r="L13" s="4">
        <f t="shared" si="7"/>
        <v>1503283.961482252</v>
      </c>
      <c r="M13" s="4">
        <f t="shared" si="8"/>
        <v>1696498.0790108466</v>
      </c>
      <c r="N13" s="4">
        <f t="shared" si="9"/>
        <v>0</v>
      </c>
      <c r="O13" s="4">
        <f t="shared" si="10"/>
        <v>134965680.23755753</v>
      </c>
    </row>
    <row r="14" spans="2:23" x14ac:dyDescent="0.3">
      <c r="B14">
        <v>5</v>
      </c>
      <c r="C14" s="6">
        <f t="shared" si="0"/>
        <v>1465755.7274764532</v>
      </c>
      <c r="D14" s="6">
        <f t="shared" si="1"/>
        <v>3199782.0404930986</v>
      </c>
      <c r="E14" s="6">
        <f t="shared" si="2"/>
        <v>1734026.3130166454</v>
      </c>
      <c r="F14" s="6">
        <f t="shared" si="3"/>
        <v>0</v>
      </c>
      <c r="G14" s="6">
        <f t="shared" si="4"/>
        <v>131516494.36666092</v>
      </c>
      <c r="H14" s="23">
        <f t="shared" si="5"/>
        <v>0</v>
      </c>
      <c r="J14">
        <v>4</v>
      </c>
      <c r="K14" s="4">
        <f t="shared" si="6"/>
        <v>3199782.0404930986</v>
      </c>
      <c r="L14" s="4">
        <f t="shared" si="7"/>
        <v>1484622.4826131328</v>
      </c>
      <c r="M14" s="4">
        <f t="shared" si="8"/>
        <v>1715159.5578799658</v>
      </c>
      <c r="N14" s="4">
        <f t="shared" si="9"/>
        <v>0</v>
      </c>
      <c r="O14" s="4">
        <f t="shared" si="10"/>
        <v>133250520.67967756</v>
      </c>
    </row>
    <row r="15" spans="2:23" x14ac:dyDescent="0.3">
      <c r="B15">
        <v>6</v>
      </c>
      <c r="C15" s="6">
        <f t="shared" si="0"/>
        <v>1446681.43803327</v>
      </c>
      <c r="D15" s="6">
        <f t="shared" si="1"/>
        <v>3199782.0404930986</v>
      </c>
      <c r="E15" s="6">
        <f t="shared" si="2"/>
        <v>1753100.6024598286</v>
      </c>
      <c r="F15" s="6">
        <f t="shared" si="3"/>
        <v>0</v>
      </c>
      <c r="G15" s="6">
        <f t="shared" si="4"/>
        <v>129763393.76420109</v>
      </c>
      <c r="H15" s="23">
        <f t="shared" si="5"/>
        <v>0</v>
      </c>
      <c r="J15">
        <v>5</v>
      </c>
      <c r="K15" s="4">
        <f t="shared" si="6"/>
        <v>3199782.0404930986</v>
      </c>
      <c r="L15" s="4">
        <f t="shared" si="7"/>
        <v>1465755.7274764532</v>
      </c>
      <c r="M15" s="4">
        <f t="shared" si="8"/>
        <v>1734026.3130166454</v>
      </c>
      <c r="N15" s="4">
        <f t="shared" si="9"/>
        <v>0</v>
      </c>
      <c r="O15" s="4">
        <f t="shared" si="10"/>
        <v>131516494.36666092</v>
      </c>
    </row>
    <row r="16" spans="2:23" x14ac:dyDescent="0.3">
      <c r="B16">
        <v>7</v>
      </c>
      <c r="C16" s="6">
        <f t="shared" si="0"/>
        <v>1427397.3314062119</v>
      </c>
      <c r="D16" s="6">
        <f t="shared" si="1"/>
        <v>3199782.0404930986</v>
      </c>
      <c r="E16" s="6">
        <f t="shared" si="2"/>
        <v>1772384.7090868866</v>
      </c>
      <c r="F16" s="6">
        <f t="shared" si="3"/>
        <v>0</v>
      </c>
      <c r="G16" s="6">
        <f t="shared" si="4"/>
        <v>127991009.05511421</v>
      </c>
      <c r="H16" s="23">
        <f t="shared" si="5"/>
        <v>0</v>
      </c>
      <c r="J16">
        <v>6</v>
      </c>
      <c r="K16" s="4">
        <f t="shared" si="6"/>
        <v>3199782.0404930986</v>
      </c>
      <c r="L16" s="4">
        <f t="shared" si="7"/>
        <v>1446681.43803327</v>
      </c>
      <c r="M16" s="4">
        <f t="shared" si="8"/>
        <v>1753100.6024598286</v>
      </c>
      <c r="N16" s="4">
        <f t="shared" si="9"/>
        <v>0</v>
      </c>
      <c r="O16" s="4">
        <f t="shared" si="10"/>
        <v>129763393.76420109</v>
      </c>
    </row>
    <row r="17" spans="2:15" x14ac:dyDescent="0.3">
      <c r="B17">
        <v>8</v>
      </c>
      <c r="C17" s="6">
        <f t="shared" si="0"/>
        <v>1407901.0996062562</v>
      </c>
      <c r="D17" s="6">
        <f t="shared" si="1"/>
        <v>3199782.0404930986</v>
      </c>
      <c r="E17" s="6">
        <f t="shared" si="2"/>
        <v>1791880.9408868423</v>
      </c>
      <c r="F17" s="6">
        <f t="shared" si="3"/>
        <v>0</v>
      </c>
      <c r="G17" s="6">
        <f t="shared" si="4"/>
        <v>126199128.11422737</v>
      </c>
      <c r="H17" s="23">
        <f t="shared" si="5"/>
        <v>0</v>
      </c>
      <c r="J17">
        <v>7</v>
      </c>
      <c r="K17" s="4">
        <f t="shared" si="6"/>
        <v>3199782.0404930986</v>
      </c>
      <c r="L17" s="4">
        <f t="shared" si="7"/>
        <v>1427397.3314062119</v>
      </c>
      <c r="M17" s="4">
        <f t="shared" si="8"/>
        <v>1772384.7090868866</v>
      </c>
      <c r="N17" s="4">
        <f t="shared" si="9"/>
        <v>0</v>
      </c>
      <c r="O17" s="4">
        <f t="shared" si="10"/>
        <v>127991009.05511421</v>
      </c>
    </row>
    <row r="18" spans="2:15" x14ac:dyDescent="0.3">
      <c r="B18">
        <v>9</v>
      </c>
      <c r="C18" s="6">
        <f t="shared" si="0"/>
        <v>1388190.4092565009</v>
      </c>
      <c r="D18" s="6">
        <f t="shared" si="1"/>
        <v>3199782.0404930986</v>
      </c>
      <c r="E18" s="6">
        <f t="shared" si="2"/>
        <v>1811591.6312365977</v>
      </c>
      <c r="F18" s="6">
        <f t="shared" si="3"/>
        <v>0</v>
      </c>
      <c r="G18" s="6">
        <f t="shared" si="4"/>
        <v>124387536.48299077</v>
      </c>
      <c r="H18" s="23">
        <f t="shared" si="5"/>
        <v>0</v>
      </c>
      <c r="J18">
        <v>8</v>
      </c>
      <c r="K18" s="4">
        <f t="shared" si="6"/>
        <v>3199782.0404930986</v>
      </c>
      <c r="L18" s="4">
        <f t="shared" si="7"/>
        <v>1407901.0996062562</v>
      </c>
      <c r="M18" s="4">
        <f t="shared" si="8"/>
        <v>1791880.9408868423</v>
      </c>
      <c r="N18" s="4">
        <f t="shared" si="9"/>
        <v>0</v>
      </c>
      <c r="O18" s="4">
        <f t="shared" si="10"/>
        <v>126199128.11422737</v>
      </c>
    </row>
    <row r="19" spans="2:15" x14ac:dyDescent="0.3">
      <c r="B19">
        <v>10</v>
      </c>
      <c r="C19" s="6">
        <f t="shared" si="0"/>
        <v>1368262.9013128984</v>
      </c>
      <c r="D19" s="6">
        <f t="shared" si="1"/>
        <v>3199782.0404930986</v>
      </c>
      <c r="E19" s="6">
        <f t="shared" si="2"/>
        <v>1831519.1391802002</v>
      </c>
      <c r="F19" s="6">
        <f t="shared" si="3"/>
        <v>0</v>
      </c>
      <c r="G19" s="6">
        <f t="shared" si="4"/>
        <v>122556017.34381057</v>
      </c>
      <c r="H19" s="23">
        <f t="shared" si="5"/>
        <v>0</v>
      </c>
      <c r="J19">
        <v>9</v>
      </c>
      <c r="K19" s="4">
        <f t="shared" si="6"/>
        <v>3199782.0404930986</v>
      </c>
      <c r="L19" s="4">
        <f t="shared" si="7"/>
        <v>1388190.4092565009</v>
      </c>
      <c r="M19" s="4">
        <f t="shared" si="8"/>
        <v>1811591.6312365977</v>
      </c>
      <c r="N19" s="4">
        <f t="shared" si="9"/>
        <v>0</v>
      </c>
      <c r="O19" s="4">
        <f t="shared" si="10"/>
        <v>124387536.48299077</v>
      </c>
    </row>
    <row r="20" spans="2:15" x14ac:dyDescent="0.3">
      <c r="B20">
        <v>11</v>
      </c>
      <c r="C20" s="6">
        <f t="shared" si="0"/>
        <v>1348116.1907819163</v>
      </c>
      <c r="D20" s="6">
        <f t="shared" si="1"/>
        <v>3199782.0404930986</v>
      </c>
      <c r="E20" s="6">
        <f t="shared" si="2"/>
        <v>1851665.8497111823</v>
      </c>
      <c r="F20" s="6">
        <f t="shared" si="3"/>
        <v>0</v>
      </c>
      <c r="G20" s="6">
        <f t="shared" si="4"/>
        <v>120704351.49409939</v>
      </c>
      <c r="H20" s="23">
        <f t="shared" si="5"/>
        <v>0</v>
      </c>
      <c r="J20">
        <v>10</v>
      </c>
      <c r="K20" s="4">
        <f t="shared" si="6"/>
        <v>3199782.0404930986</v>
      </c>
      <c r="L20" s="4">
        <f t="shared" si="7"/>
        <v>1368262.9013128984</v>
      </c>
      <c r="M20" s="4">
        <f t="shared" si="8"/>
        <v>1831519.1391802002</v>
      </c>
      <c r="N20" s="4">
        <f t="shared" si="9"/>
        <v>0</v>
      </c>
      <c r="O20" s="4">
        <f t="shared" si="10"/>
        <v>122556017.34381057</v>
      </c>
    </row>
    <row r="21" spans="2:15" x14ac:dyDescent="0.3">
      <c r="B21">
        <v>12</v>
      </c>
      <c r="C21" s="6">
        <f t="shared" si="0"/>
        <v>1327747.8664350933</v>
      </c>
      <c r="D21" s="6">
        <f t="shared" si="1"/>
        <v>3199782.0404930986</v>
      </c>
      <c r="E21" s="6">
        <f t="shared" si="2"/>
        <v>1872034.1740580052</v>
      </c>
      <c r="F21" s="6">
        <f t="shared" si="3"/>
        <v>500000</v>
      </c>
      <c r="G21" s="6">
        <f t="shared" si="4"/>
        <v>118332317.32004139</v>
      </c>
      <c r="H21" s="23">
        <f t="shared" si="5"/>
        <v>500000</v>
      </c>
      <c r="J21">
        <v>11</v>
      </c>
      <c r="K21" s="4">
        <f t="shared" si="6"/>
        <v>3199782.0404930986</v>
      </c>
      <c r="L21" s="4">
        <f t="shared" si="7"/>
        <v>1348116.1907819163</v>
      </c>
      <c r="M21" s="4">
        <f t="shared" si="8"/>
        <v>1851665.8497111823</v>
      </c>
      <c r="N21" s="4">
        <f t="shared" si="9"/>
        <v>0</v>
      </c>
      <c r="O21" s="4">
        <f t="shared" si="10"/>
        <v>120704351.49409939</v>
      </c>
    </row>
    <row r="22" spans="2:15" x14ac:dyDescent="0.3">
      <c r="B22">
        <v>13</v>
      </c>
      <c r="C22" s="6">
        <f t="shared" si="0"/>
        <v>1301655.4905204552</v>
      </c>
      <c r="D22" s="6">
        <f t="shared" si="1"/>
        <v>3186318.6068386179</v>
      </c>
      <c r="E22" s="6">
        <f t="shared" si="2"/>
        <v>1884663.1163181628</v>
      </c>
      <c r="F22" s="6">
        <f t="shared" si="3"/>
        <v>0</v>
      </c>
      <c r="G22" s="6">
        <f t="shared" si="4"/>
        <v>116447654.20372322</v>
      </c>
      <c r="H22" s="23">
        <f t="shared" si="5"/>
        <v>500000</v>
      </c>
      <c r="J22">
        <v>12</v>
      </c>
      <c r="K22" s="4">
        <f t="shared" si="6"/>
        <v>3199782.0404930986</v>
      </c>
      <c r="L22" s="4">
        <f t="shared" si="7"/>
        <v>1327747.8664350933</v>
      </c>
      <c r="M22" s="4">
        <f t="shared" si="8"/>
        <v>1872034.1740580052</v>
      </c>
      <c r="N22" s="4">
        <f t="shared" si="9"/>
        <v>500000</v>
      </c>
      <c r="O22" s="4">
        <f t="shared" si="10"/>
        <v>118332317.32004139</v>
      </c>
    </row>
    <row r="23" spans="2:15" x14ac:dyDescent="0.3">
      <c r="B23">
        <v>14</v>
      </c>
      <c r="C23" s="6">
        <f t="shared" si="0"/>
        <v>1280924.1962409553</v>
      </c>
      <c r="D23" s="6">
        <f t="shared" si="1"/>
        <v>3186318.6068386189</v>
      </c>
      <c r="E23" s="6">
        <f t="shared" si="2"/>
        <v>1905394.4105976636</v>
      </c>
      <c r="F23" s="6">
        <f t="shared" si="3"/>
        <v>0</v>
      </c>
      <c r="G23" s="6">
        <f t="shared" si="4"/>
        <v>114542259.79312555</v>
      </c>
      <c r="H23" s="23">
        <f t="shared" si="5"/>
        <v>500000</v>
      </c>
      <c r="J23">
        <v>13</v>
      </c>
      <c r="K23" s="4">
        <f t="shared" si="6"/>
        <v>3199782.0404930986</v>
      </c>
      <c r="L23" s="4">
        <f t="shared" si="7"/>
        <v>1301655.4905204552</v>
      </c>
      <c r="M23" s="4">
        <f t="shared" si="8"/>
        <v>1898126.5499726434</v>
      </c>
      <c r="N23" s="4">
        <f t="shared" si="9"/>
        <v>0</v>
      </c>
      <c r="O23" s="4">
        <f t="shared" si="10"/>
        <v>116434190.77006875</v>
      </c>
    </row>
    <row r="24" spans="2:15" x14ac:dyDescent="0.3">
      <c r="B24">
        <v>15</v>
      </c>
      <c r="C24" s="6">
        <f t="shared" si="0"/>
        <v>1259964.8577243811</v>
      </c>
      <c r="D24" s="6">
        <f t="shared" si="1"/>
        <v>3186318.6068386179</v>
      </c>
      <c r="E24" s="6">
        <f t="shared" si="2"/>
        <v>1926353.7491142368</v>
      </c>
      <c r="F24" s="6">
        <f t="shared" si="3"/>
        <v>0</v>
      </c>
      <c r="G24" s="6">
        <f t="shared" si="4"/>
        <v>112615906.04401132</v>
      </c>
      <c r="H24" s="23">
        <f t="shared" si="5"/>
        <v>500000</v>
      </c>
      <c r="J24">
        <v>14</v>
      </c>
      <c r="K24" s="4">
        <f t="shared" si="6"/>
        <v>3199782.0404930986</v>
      </c>
      <c r="L24" s="4">
        <f t="shared" si="7"/>
        <v>1280776.0984707561</v>
      </c>
      <c r="M24" s="4">
        <f t="shared" si="8"/>
        <v>1919005.9420223425</v>
      </c>
      <c r="N24" s="4">
        <f t="shared" si="9"/>
        <v>0</v>
      </c>
      <c r="O24" s="4">
        <f t="shared" si="10"/>
        <v>114515184.82804641</v>
      </c>
    </row>
    <row r="25" spans="2:15" x14ac:dyDescent="0.3">
      <c r="B25">
        <v>16</v>
      </c>
      <c r="C25" s="6">
        <f t="shared" si="0"/>
        <v>1238774.9664841245</v>
      </c>
      <c r="D25" s="6">
        <f t="shared" si="1"/>
        <v>3186318.6068386189</v>
      </c>
      <c r="E25" s="6">
        <f t="shared" si="2"/>
        <v>1947543.6403544943</v>
      </c>
      <c r="F25" s="6">
        <f t="shared" si="3"/>
        <v>0</v>
      </c>
      <c r="G25" s="6">
        <f t="shared" si="4"/>
        <v>110668362.40365683</v>
      </c>
      <c r="H25" s="23">
        <f t="shared" si="5"/>
        <v>500000</v>
      </c>
      <c r="J25">
        <v>15</v>
      </c>
      <c r="K25" s="4">
        <f t="shared" si="6"/>
        <v>3199782.0404930986</v>
      </c>
      <c r="L25" s="4">
        <f t="shared" si="7"/>
        <v>1259667.0331085105</v>
      </c>
      <c r="M25" s="4">
        <f t="shared" si="8"/>
        <v>1940115.007384588</v>
      </c>
      <c r="N25" s="4">
        <f t="shared" si="9"/>
        <v>0</v>
      </c>
      <c r="O25" s="4">
        <f t="shared" si="10"/>
        <v>112575069.82066183</v>
      </c>
    </row>
    <row r="26" spans="2:15" x14ac:dyDescent="0.3">
      <c r="B26">
        <v>17</v>
      </c>
      <c r="C26" s="6">
        <f t="shared" si="0"/>
        <v>1217351.986440225</v>
      </c>
      <c r="D26" s="6">
        <f t="shared" si="1"/>
        <v>3186318.6068386179</v>
      </c>
      <c r="E26" s="6">
        <f t="shared" si="2"/>
        <v>1968966.6203983929</v>
      </c>
      <c r="F26" s="6">
        <f t="shared" si="3"/>
        <v>0</v>
      </c>
      <c r="G26" s="6">
        <f t="shared" si="4"/>
        <v>108699395.78325844</v>
      </c>
      <c r="H26" s="23">
        <f t="shared" si="5"/>
        <v>500000</v>
      </c>
      <c r="J26">
        <v>16</v>
      </c>
      <c r="K26" s="4">
        <f t="shared" si="6"/>
        <v>3199782.0404930986</v>
      </c>
      <c r="L26" s="4">
        <f t="shared" si="7"/>
        <v>1238325.76802728</v>
      </c>
      <c r="M26" s="4">
        <f t="shared" si="8"/>
        <v>1961456.2724658186</v>
      </c>
      <c r="N26" s="4">
        <f t="shared" si="9"/>
        <v>0</v>
      </c>
      <c r="O26" s="4">
        <f t="shared" si="10"/>
        <v>110613613.548196</v>
      </c>
    </row>
    <row r="27" spans="2:15" x14ac:dyDescent="0.3">
      <c r="B27">
        <v>18</v>
      </c>
      <c r="C27" s="6">
        <f t="shared" si="0"/>
        <v>1195693.3536158428</v>
      </c>
      <c r="D27" s="6">
        <f t="shared" si="1"/>
        <v>3186318.6068386189</v>
      </c>
      <c r="E27" s="6">
        <f t="shared" si="2"/>
        <v>1990625.2532227761</v>
      </c>
      <c r="F27" s="6">
        <f t="shared" si="3"/>
        <v>0</v>
      </c>
      <c r="G27" s="6">
        <f t="shared" si="4"/>
        <v>106708770.53003566</v>
      </c>
      <c r="H27" s="23">
        <f t="shared" si="5"/>
        <v>500000</v>
      </c>
      <c r="J27">
        <v>17</v>
      </c>
      <c r="K27" s="4">
        <f t="shared" si="6"/>
        <v>3199782.0404930986</v>
      </c>
      <c r="L27" s="4">
        <f t="shared" si="7"/>
        <v>1216749.7490301561</v>
      </c>
      <c r="M27" s="4">
        <f t="shared" si="8"/>
        <v>1983032.2914629425</v>
      </c>
      <c r="N27" s="4">
        <f t="shared" si="9"/>
        <v>0</v>
      </c>
      <c r="O27" s="4">
        <f t="shared" si="10"/>
        <v>108630581.25673306</v>
      </c>
    </row>
    <row r="28" spans="2:15" x14ac:dyDescent="0.3">
      <c r="B28">
        <v>19</v>
      </c>
      <c r="C28" s="6">
        <f t="shared" si="0"/>
        <v>1173796.4758303922</v>
      </c>
      <c r="D28" s="6">
        <f t="shared" si="1"/>
        <v>3186318.6068386179</v>
      </c>
      <c r="E28" s="6">
        <f t="shared" si="2"/>
        <v>2012522.1310082257</v>
      </c>
      <c r="F28" s="6">
        <f t="shared" si="3"/>
        <v>0</v>
      </c>
      <c r="G28" s="6">
        <f t="shared" si="4"/>
        <v>104696248.39902744</v>
      </c>
      <c r="H28" s="23">
        <f t="shared" si="5"/>
        <v>500000</v>
      </c>
      <c r="J28">
        <v>18</v>
      </c>
      <c r="K28" s="4">
        <f t="shared" si="6"/>
        <v>3199782.0404930986</v>
      </c>
      <c r="L28" s="4">
        <f t="shared" si="7"/>
        <v>1194936.3938240635</v>
      </c>
      <c r="M28" s="4">
        <f t="shared" si="8"/>
        <v>2004845.6466690351</v>
      </c>
      <c r="N28" s="4">
        <f t="shared" si="9"/>
        <v>0</v>
      </c>
      <c r="O28" s="4">
        <f t="shared" si="10"/>
        <v>106625735.61006403</v>
      </c>
    </row>
    <row r="29" spans="2:15" x14ac:dyDescent="0.3">
      <c r="B29">
        <v>20</v>
      </c>
      <c r="C29" s="6">
        <f t="shared" si="0"/>
        <v>1151658.7323893018</v>
      </c>
      <c r="D29" s="6">
        <f t="shared" si="1"/>
        <v>3186318.6068386193</v>
      </c>
      <c r="E29" s="6">
        <f t="shared" si="2"/>
        <v>2034659.8744493176</v>
      </c>
      <c r="F29" s="6">
        <f t="shared" si="3"/>
        <v>0</v>
      </c>
      <c r="G29" s="6">
        <f t="shared" si="4"/>
        <v>102661588.52457812</v>
      </c>
      <c r="H29" s="23">
        <f t="shared" si="5"/>
        <v>500000</v>
      </c>
      <c r="J29">
        <v>19</v>
      </c>
      <c r="K29" s="4">
        <f t="shared" si="6"/>
        <v>3199782.0404930986</v>
      </c>
      <c r="L29" s="4">
        <f t="shared" si="7"/>
        <v>1172883.0917107041</v>
      </c>
      <c r="M29" s="4">
        <f t="shared" si="8"/>
        <v>2026898.9487823944</v>
      </c>
      <c r="N29" s="4">
        <f t="shared" si="9"/>
        <v>0</v>
      </c>
      <c r="O29" s="4">
        <f t="shared" si="10"/>
        <v>104598836.66128163</v>
      </c>
    </row>
    <row r="30" spans="2:15" x14ac:dyDescent="0.3">
      <c r="B30">
        <v>21</v>
      </c>
      <c r="C30" s="6">
        <f t="shared" si="0"/>
        <v>1129277.4737703593</v>
      </c>
      <c r="D30" s="6">
        <f t="shared" si="1"/>
        <v>3186318.6068386189</v>
      </c>
      <c r="E30" s="6">
        <f t="shared" si="2"/>
        <v>2057041.1330682596</v>
      </c>
      <c r="F30" s="6">
        <f t="shared" si="3"/>
        <v>0</v>
      </c>
      <c r="G30" s="6">
        <f t="shared" si="4"/>
        <v>100604547.39150986</v>
      </c>
      <c r="H30" s="23">
        <f t="shared" si="5"/>
        <v>500000</v>
      </c>
      <c r="J30">
        <v>20</v>
      </c>
      <c r="K30" s="4">
        <f t="shared" si="6"/>
        <v>3199782.0404930986</v>
      </c>
      <c r="L30" s="4">
        <f t="shared" si="7"/>
        <v>1150587.2032740978</v>
      </c>
      <c r="M30" s="4">
        <f t="shared" si="8"/>
        <v>2049194.8372190008</v>
      </c>
      <c r="N30" s="4">
        <f t="shared" si="9"/>
        <v>0</v>
      </c>
      <c r="O30" s="4">
        <f t="shared" si="10"/>
        <v>102549641.82406263</v>
      </c>
    </row>
    <row r="31" spans="2:15" x14ac:dyDescent="0.3">
      <c r="B31">
        <v>22</v>
      </c>
      <c r="C31" s="6">
        <f t="shared" si="0"/>
        <v>1106650.0213066083</v>
      </c>
      <c r="D31" s="6">
        <f t="shared" si="1"/>
        <v>3186318.6068386189</v>
      </c>
      <c r="E31" s="6">
        <f t="shared" si="2"/>
        <v>2079668.5855320105</v>
      </c>
      <c r="F31" s="6">
        <f t="shared" si="3"/>
        <v>0</v>
      </c>
      <c r="G31" s="6">
        <f t="shared" si="4"/>
        <v>98524878.805977851</v>
      </c>
      <c r="H31" s="23">
        <f t="shared" si="5"/>
        <v>500000</v>
      </c>
      <c r="J31">
        <v>21</v>
      </c>
      <c r="K31" s="4">
        <f t="shared" si="6"/>
        <v>3199782.0404930986</v>
      </c>
      <c r="L31" s="4">
        <f t="shared" si="7"/>
        <v>1128046.0600646888</v>
      </c>
      <c r="M31" s="4">
        <f t="shared" si="8"/>
        <v>2071735.9804284098</v>
      </c>
      <c r="N31" s="4">
        <f t="shared" si="9"/>
        <v>0</v>
      </c>
      <c r="O31" s="4">
        <f t="shared" si="10"/>
        <v>100477905.84363422</v>
      </c>
    </row>
    <row r="32" spans="2:15" x14ac:dyDescent="0.3">
      <c r="B32">
        <v>23</v>
      </c>
      <c r="C32" s="6">
        <f t="shared" si="0"/>
        <v>1083773.6668657563</v>
      </c>
      <c r="D32" s="6">
        <f t="shared" si="1"/>
        <v>3186318.6068386189</v>
      </c>
      <c r="E32" s="6">
        <f t="shared" si="2"/>
        <v>2102544.9399728626</v>
      </c>
      <c r="F32" s="6">
        <f t="shared" si="3"/>
        <v>0</v>
      </c>
      <c r="G32" s="6">
        <f t="shared" si="4"/>
        <v>96422333.866004989</v>
      </c>
      <c r="H32" s="23">
        <f t="shared" si="5"/>
        <v>500000</v>
      </c>
      <c r="J32">
        <v>22</v>
      </c>
      <c r="K32" s="4">
        <f t="shared" si="6"/>
        <v>3199782.0404930986</v>
      </c>
      <c r="L32" s="4">
        <f t="shared" si="7"/>
        <v>1105256.9642799764</v>
      </c>
      <c r="M32" s="4">
        <f t="shared" si="8"/>
        <v>2094525.0762131221</v>
      </c>
      <c r="N32" s="4">
        <f t="shared" si="9"/>
        <v>0</v>
      </c>
      <c r="O32" s="4">
        <f t="shared" si="10"/>
        <v>98383380.767421097</v>
      </c>
    </row>
    <row r="33" spans="2:15" x14ac:dyDescent="0.3">
      <c r="B33">
        <v>24</v>
      </c>
      <c r="C33" s="6">
        <f t="shared" si="0"/>
        <v>1060645.6725260548</v>
      </c>
      <c r="D33" s="6">
        <f t="shared" si="1"/>
        <v>3186318.6068386189</v>
      </c>
      <c r="E33" s="6">
        <f t="shared" si="2"/>
        <v>2125672.9343125643</v>
      </c>
      <c r="F33" s="6">
        <f t="shared" si="3"/>
        <v>0</v>
      </c>
      <c r="G33" s="6">
        <f t="shared" si="4"/>
        <v>94296660.931692421</v>
      </c>
      <c r="H33" s="23">
        <f t="shared" si="5"/>
        <v>500000</v>
      </c>
      <c r="J33">
        <v>23</v>
      </c>
      <c r="K33" s="4">
        <f t="shared" si="6"/>
        <v>3199782.0404930986</v>
      </c>
      <c r="L33" s="4">
        <f t="shared" si="7"/>
        <v>1082217.1884416321</v>
      </c>
      <c r="M33" s="4">
        <f t="shared" si="8"/>
        <v>2117564.8520514667</v>
      </c>
      <c r="N33" s="4">
        <f t="shared" si="9"/>
        <v>0</v>
      </c>
      <c r="O33" s="4">
        <f t="shared" si="10"/>
        <v>96265815.91536963</v>
      </c>
    </row>
    <row r="34" spans="2:15" x14ac:dyDescent="0.3">
      <c r="B34">
        <v>25</v>
      </c>
      <c r="C34" s="6">
        <f t="shared" si="0"/>
        <v>1037263.2702486166</v>
      </c>
      <c r="D34" s="6">
        <f t="shared" si="1"/>
        <v>3186318.6068386193</v>
      </c>
      <c r="E34" s="6">
        <f t="shared" si="2"/>
        <v>2149055.3365900028</v>
      </c>
      <c r="F34" s="6">
        <f t="shared" si="3"/>
        <v>0</v>
      </c>
      <c r="G34" s="6">
        <f t="shared" si="4"/>
        <v>92147605.595102414</v>
      </c>
      <c r="H34" s="23">
        <f t="shared" si="5"/>
        <v>500000</v>
      </c>
      <c r="J34">
        <v>24</v>
      </c>
      <c r="K34" s="4">
        <f t="shared" si="6"/>
        <v>3199782.0404930986</v>
      </c>
      <c r="L34" s="4">
        <f t="shared" si="7"/>
        <v>1058923.9750690658</v>
      </c>
      <c r="M34" s="4">
        <f t="shared" si="8"/>
        <v>2140858.0654240325</v>
      </c>
      <c r="N34" s="4">
        <f t="shared" si="9"/>
        <v>0</v>
      </c>
      <c r="O34" s="4">
        <f t="shared" si="10"/>
        <v>94124957.849945605</v>
      </c>
    </row>
    <row r="35" spans="2:15" x14ac:dyDescent="0.3">
      <c r="B35">
        <v>26</v>
      </c>
      <c r="C35" s="6">
        <f t="shared" si="0"/>
        <v>1013623.6615461265</v>
      </c>
      <c r="D35" s="6">
        <f t="shared" si="1"/>
        <v>3186318.6068386189</v>
      </c>
      <c r="E35" s="6">
        <f t="shared" si="2"/>
        <v>2172694.9452924924</v>
      </c>
      <c r="F35" s="6">
        <f t="shared" si="3"/>
        <v>0</v>
      </c>
      <c r="G35" s="6">
        <f t="shared" si="4"/>
        <v>89974910.649809927</v>
      </c>
      <c r="H35" s="23">
        <f t="shared" si="5"/>
        <v>500000</v>
      </c>
      <c r="J35">
        <v>25</v>
      </c>
      <c r="K35" s="4">
        <f t="shared" si="6"/>
        <v>3199782.0404930986</v>
      </c>
      <c r="L35" s="4">
        <f t="shared" si="7"/>
        <v>1035374.5363494016</v>
      </c>
      <c r="M35" s="4">
        <f t="shared" si="8"/>
        <v>2164407.5041436972</v>
      </c>
      <c r="N35" s="4">
        <f t="shared" si="9"/>
        <v>0</v>
      </c>
      <c r="O35" s="4">
        <f t="shared" si="10"/>
        <v>91960550.345801905</v>
      </c>
    </row>
    <row r="36" spans="2:15" x14ac:dyDescent="0.3">
      <c r="B36">
        <v>27</v>
      </c>
      <c r="C36" s="6">
        <f t="shared" si="0"/>
        <v>989724.01714790915</v>
      </c>
      <c r="D36" s="6">
        <f t="shared" si="1"/>
        <v>3186318.6068386179</v>
      </c>
      <c r="E36" s="6">
        <f t="shared" si="2"/>
        <v>2196594.5896907086</v>
      </c>
      <c r="F36" s="6">
        <f t="shared" si="3"/>
        <v>0</v>
      </c>
      <c r="G36" s="6">
        <f t="shared" si="4"/>
        <v>87778316.060119212</v>
      </c>
      <c r="H36" s="23">
        <f t="shared" si="5"/>
        <v>500000</v>
      </c>
      <c r="J36">
        <v>26</v>
      </c>
      <c r="K36" s="4">
        <f t="shared" si="6"/>
        <v>3199782.0404930986</v>
      </c>
      <c r="L36" s="4">
        <f t="shared" si="7"/>
        <v>1011566.0538038209</v>
      </c>
      <c r="M36" s="4">
        <f t="shared" si="8"/>
        <v>2188215.9866892779</v>
      </c>
      <c r="N36" s="4">
        <f t="shared" si="9"/>
        <v>0</v>
      </c>
      <c r="O36" s="4">
        <f t="shared" si="10"/>
        <v>89772334.35911262</v>
      </c>
    </row>
    <row r="37" spans="2:15" x14ac:dyDescent="0.3">
      <c r="B37">
        <v>28</v>
      </c>
      <c r="C37" s="6">
        <f t="shared" si="0"/>
        <v>965561.47666131123</v>
      </c>
      <c r="D37" s="6">
        <f t="shared" si="1"/>
        <v>3186318.6068386179</v>
      </c>
      <c r="E37" s="6">
        <f t="shared" si="2"/>
        <v>2220757.1301773069</v>
      </c>
      <c r="F37" s="6">
        <f t="shared" si="3"/>
        <v>0</v>
      </c>
      <c r="G37" s="6">
        <f t="shared" si="4"/>
        <v>85557558.929941908</v>
      </c>
      <c r="H37" s="23">
        <f t="shared" si="5"/>
        <v>500000</v>
      </c>
      <c r="J37">
        <v>27</v>
      </c>
      <c r="K37" s="4">
        <f t="shared" si="6"/>
        <v>3199782.0404930986</v>
      </c>
      <c r="L37" s="4">
        <f t="shared" si="7"/>
        <v>987495.67795023881</v>
      </c>
      <c r="M37" s="4">
        <f t="shared" si="8"/>
        <v>2212286.3625428597</v>
      </c>
      <c r="N37" s="4">
        <f t="shared" si="9"/>
        <v>0</v>
      </c>
      <c r="O37" s="4">
        <f t="shared" si="10"/>
        <v>87560047.996569768</v>
      </c>
    </row>
    <row r="38" spans="2:15" x14ac:dyDescent="0.3">
      <c r="B38">
        <v>29</v>
      </c>
      <c r="C38" s="6">
        <f t="shared" si="0"/>
        <v>941133.14822936093</v>
      </c>
      <c r="D38" s="6">
        <f t="shared" si="1"/>
        <v>3186318.6068386189</v>
      </c>
      <c r="E38" s="6">
        <f t="shared" si="2"/>
        <v>2245185.4586092578</v>
      </c>
      <c r="F38" s="6">
        <f t="shared" si="3"/>
        <v>0</v>
      </c>
      <c r="G38" s="6">
        <f t="shared" si="4"/>
        <v>83312373.471332654</v>
      </c>
      <c r="H38" s="23">
        <f t="shared" si="5"/>
        <v>500000</v>
      </c>
      <c r="J38">
        <v>28</v>
      </c>
      <c r="K38" s="4">
        <f t="shared" si="6"/>
        <v>3199782.0404930986</v>
      </c>
      <c r="L38" s="4">
        <f t="shared" si="7"/>
        <v>963160.5279622674</v>
      </c>
      <c r="M38" s="4">
        <f t="shared" si="8"/>
        <v>2236621.5125308312</v>
      </c>
      <c r="N38" s="4">
        <f t="shared" si="9"/>
        <v>0</v>
      </c>
      <c r="O38" s="4">
        <f t="shared" si="10"/>
        <v>85323426.484038934</v>
      </c>
    </row>
    <row r="39" spans="2:15" x14ac:dyDescent="0.3">
      <c r="B39">
        <v>30</v>
      </c>
      <c r="C39" s="6">
        <f t="shared" si="0"/>
        <v>916436.10818465916</v>
      </c>
      <c r="D39" s="6">
        <f t="shared" si="1"/>
        <v>3186318.6068386189</v>
      </c>
      <c r="E39" s="6">
        <f t="shared" si="2"/>
        <v>2269882.4986539595</v>
      </c>
      <c r="F39" s="6">
        <f t="shared" si="3"/>
        <v>0</v>
      </c>
      <c r="G39" s="6">
        <f t="shared" si="4"/>
        <v>81042490.972678691</v>
      </c>
      <c r="H39" s="23">
        <f t="shared" si="5"/>
        <v>500000</v>
      </c>
      <c r="J39">
        <v>29</v>
      </c>
      <c r="K39" s="4">
        <f t="shared" si="6"/>
        <v>3199782.0404930986</v>
      </c>
      <c r="L39" s="4">
        <f t="shared" si="7"/>
        <v>938557.69132442819</v>
      </c>
      <c r="M39" s="4">
        <f t="shared" si="8"/>
        <v>2261224.3491686704</v>
      </c>
      <c r="N39" s="4">
        <f t="shared" si="9"/>
        <v>0</v>
      </c>
      <c r="O39" s="4">
        <f t="shared" si="10"/>
        <v>83062202.134870261</v>
      </c>
    </row>
    <row r="40" spans="2:15" x14ac:dyDescent="0.3">
      <c r="B40">
        <v>31</v>
      </c>
      <c r="C40" s="6">
        <f t="shared" si="0"/>
        <v>891467.40069946554</v>
      </c>
      <c r="D40" s="6">
        <f t="shared" si="1"/>
        <v>3186318.6068386189</v>
      </c>
      <c r="E40" s="6">
        <f t="shared" si="2"/>
        <v>2294851.2061391533</v>
      </c>
      <c r="F40" s="6">
        <f t="shared" si="3"/>
        <v>0</v>
      </c>
      <c r="G40" s="6">
        <f t="shared" si="4"/>
        <v>78747639.766539544</v>
      </c>
      <c r="H40" s="23">
        <f t="shared" si="5"/>
        <v>500000</v>
      </c>
      <c r="J40">
        <v>30</v>
      </c>
      <c r="K40" s="4">
        <f t="shared" si="6"/>
        <v>3199782.0404930986</v>
      </c>
      <c r="L40" s="4">
        <f t="shared" si="7"/>
        <v>913684.22348357283</v>
      </c>
      <c r="M40" s="4">
        <f t="shared" si="8"/>
        <v>2286097.8170095258</v>
      </c>
      <c r="N40" s="4">
        <f t="shared" si="9"/>
        <v>0</v>
      </c>
      <c r="O40" s="4">
        <f t="shared" si="10"/>
        <v>80776104.317860737</v>
      </c>
    </row>
    <row r="41" spans="2:15" x14ac:dyDescent="0.3">
      <c r="B41">
        <v>32</v>
      </c>
      <c r="C41" s="6">
        <f t="shared" si="0"/>
        <v>866224.03743193496</v>
      </c>
      <c r="D41" s="6">
        <f t="shared" si="1"/>
        <v>3186318.6068386179</v>
      </c>
      <c r="E41" s="6">
        <f t="shared" si="2"/>
        <v>2320094.5694066831</v>
      </c>
      <c r="F41" s="6">
        <f t="shared" si="3"/>
        <v>0</v>
      </c>
      <c r="G41" s="6">
        <f t="shared" si="4"/>
        <v>76427545.197132856</v>
      </c>
      <c r="H41" s="23">
        <f t="shared" si="5"/>
        <v>500000</v>
      </c>
      <c r="J41">
        <v>31</v>
      </c>
      <c r="K41" s="4">
        <f t="shared" si="6"/>
        <v>3199782.0404930986</v>
      </c>
      <c r="L41" s="4">
        <f t="shared" si="7"/>
        <v>888537.14749646804</v>
      </c>
      <c r="M41" s="4">
        <f t="shared" si="8"/>
        <v>2311244.8929966306</v>
      </c>
      <c r="N41" s="4">
        <f t="shared" si="9"/>
        <v>0</v>
      </c>
      <c r="O41" s="4">
        <f t="shared" si="10"/>
        <v>78464859.424864113</v>
      </c>
    </row>
    <row r="42" spans="2:15" x14ac:dyDescent="0.3">
      <c r="B42">
        <v>33</v>
      </c>
      <c r="C42" s="6">
        <f t="shared" si="0"/>
        <v>840702.99716846133</v>
      </c>
      <c r="D42" s="6">
        <f t="shared" si="1"/>
        <v>3186318.6068386179</v>
      </c>
      <c r="E42" s="6">
        <f t="shared" si="2"/>
        <v>2345615.6096701566</v>
      </c>
      <c r="F42" s="6">
        <f t="shared" si="3"/>
        <v>0</v>
      </c>
      <c r="G42" s="6">
        <f t="shared" si="4"/>
        <v>74081929.587462693</v>
      </c>
      <c r="H42" s="23">
        <f t="shared" si="5"/>
        <v>500000</v>
      </c>
      <c r="J42">
        <v>32</v>
      </c>
      <c r="K42" s="4">
        <f t="shared" si="6"/>
        <v>3199782.0404930986</v>
      </c>
      <c r="L42" s="4">
        <f t="shared" si="7"/>
        <v>863113.45367350522</v>
      </c>
      <c r="M42" s="4">
        <f t="shared" si="8"/>
        <v>2336668.5868195933</v>
      </c>
      <c r="N42" s="4">
        <f t="shared" si="9"/>
        <v>0</v>
      </c>
      <c r="O42" s="4">
        <f t="shared" si="10"/>
        <v>76128190.838044524</v>
      </c>
    </row>
    <row r="43" spans="2:15" x14ac:dyDescent="0.3">
      <c r="B43">
        <v>34</v>
      </c>
      <c r="C43" s="6">
        <f t="shared" si="0"/>
        <v>814901.22546208953</v>
      </c>
      <c r="D43" s="6">
        <f t="shared" si="1"/>
        <v>3186318.6068386179</v>
      </c>
      <c r="E43" s="6">
        <f t="shared" si="2"/>
        <v>2371417.3813765282</v>
      </c>
      <c r="F43" s="6">
        <f t="shared" si="3"/>
        <v>0</v>
      </c>
      <c r="G43" s="6">
        <f t="shared" si="4"/>
        <v>71710512.206086159</v>
      </c>
      <c r="H43" s="23">
        <f t="shared" si="5"/>
        <v>500000</v>
      </c>
      <c r="J43">
        <v>33</v>
      </c>
      <c r="K43" s="4">
        <f t="shared" si="6"/>
        <v>3199782.0404930986</v>
      </c>
      <c r="L43" s="4">
        <f t="shared" si="7"/>
        <v>837410.09921848972</v>
      </c>
      <c r="M43" s="4">
        <f t="shared" si="8"/>
        <v>2362371.941274609</v>
      </c>
      <c r="N43" s="4">
        <f t="shared" si="9"/>
        <v>0</v>
      </c>
      <c r="O43" s="4">
        <f t="shared" si="10"/>
        <v>73765818.896769911</v>
      </c>
    </row>
    <row r="44" spans="2:15" x14ac:dyDescent="0.3">
      <c r="B44">
        <v>35</v>
      </c>
      <c r="C44" s="6">
        <f t="shared" si="0"/>
        <v>788815.63426694775</v>
      </c>
      <c r="D44" s="6">
        <f t="shared" si="1"/>
        <v>3186318.6068386179</v>
      </c>
      <c r="E44" s="6">
        <f t="shared" si="2"/>
        <v>2397502.9725716701</v>
      </c>
      <c r="F44" s="6">
        <f t="shared" si="3"/>
        <v>0</v>
      </c>
      <c r="G44" s="6">
        <f t="shared" si="4"/>
        <v>69313009.233514488</v>
      </c>
      <c r="H44" s="23">
        <f t="shared" si="5"/>
        <v>500000</v>
      </c>
      <c r="J44">
        <v>34</v>
      </c>
      <c r="K44" s="4">
        <f t="shared" si="6"/>
        <v>3199782.0404930986</v>
      </c>
      <c r="L44" s="4">
        <f t="shared" si="7"/>
        <v>811424.00786446896</v>
      </c>
      <c r="M44" s="4">
        <f t="shared" si="8"/>
        <v>2388358.0326286294</v>
      </c>
      <c r="N44" s="4">
        <f t="shared" si="9"/>
        <v>0</v>
      </c>
      <c r="O44" s="4">
        <f t="shared" si="10"/>
        <v>71377460.864141285</v>
      </c>
    </row>
    <row r="45" spans="2:15" x14ac:dyDescent="0.3">
      <c r="B45">
        <v>36</v>
      </c>
      <c r="C45" s="6">
        <f t="shared" si="0"/>
        <v>762443.1015686593</v>
      </c>
      <c r="D45" s="6">
        <f t="shared" si="1"/>
        <v>3186318.6068386179</v>
      </c>
      <c r="E45" s="6">
        <f t="shared" si="2"/>
        <v>2423875.5052699586</v>
      </c>
      <c r="F45" s="6">
        <f t="shared" si="3"/>
        <v>0</v>
      </c>
      <c r="G45" s="6">
        <f t="shared" si="4"/>
        <v>66889133.728244528</v>
      </c>
      <c r="H45" s="23">
        <f t="shared" si="5"/>
        <v>500000</v>
      </c>
      <c r="J45">
        <v>35</v>
      </c>
      <c r="K45" s="4">
        <f t="shared" si="6"/>
        <v>3199782.0404930986</v>
      </c>
      <c r="L45" s="4">
        <f t="shared" si="7"/>
        <v>785152.06950555404</v>
      </c>
      <c r="M45" s="4">
        <f t="shared" si="8"/>
        <v>2414629.9709875444</v>
      </c>
      <c r="N45" s="4">
        <f t="shared" si="9"/>
        <v>0</v>
      </c>
      <c r="O45" s="4">
        <f t="shared" si="10"/>
        <v>68962830.893153742</v>
      </c>
    </row>
    <row r="46" spans="2:15" x14ac:dyDescent="0.3">
      <c r="B46">
        <v>37</v>
      </c>
      <c r="C46" s="6">
        <f t="shared" si="0"/>
        <v>735780.47101068974</v>
      </c>
      <c r="D46" s="6">
        <f t="shared" si="1"/>
        <v>3186318.6068386179</v>
      </c>
      <c r="E46" s="6">
        <f t="shared" si="2"/>
        <v>2450538.1358279283</v>
      </c>
      <c r="F46" s="6">
        <f t="shared" si="3"/>
        <v>0</v>
      </c>
      <c r="G46" s="6">
        <f t="shared" si="4"/>
        <v>64438595.592416599</v>
      </c>
      <c r="H46" s="23">
        <f t="shared" si="5"/>
        <v>500000</v>
      </c>
      <c r="J46">
        <v>36</v>
      </c>
      <c r="K46" s="4">
        <f t="shared" si="6"/>
        <v>3199782.0404930986</v>
      </c>
      <c r="L46" s="4">
        <f t="shared" si="7"/>
        <v>758591.13982469111</v>
      </c>
      <c r="M46" s="4">
        <f t="shared" si="8"/>
        <v>2441190.9006684073</v>
      </c>
      <c r="N46" s="4">
        <f t="shared" si="9"/>
        <v>0</v>
      </c>
      <c r="O46" s="4">
        <f t="shared" si="10"/>
        <v>66521639.992485337</v>
      </c>
    </row>
    <row r="47" spans="2:15" x14ac:dyDescent="0.3">
      <c r="B47">
        <v>38</v>
      </c>
      <c r="C47" s="6">
        <f t="shared" si="0"/>
        <v>708824.55151658261</v>
      </c>
      <c r="D47" s="6">
        <f t="shared" si="1"/>
        <v>3186318.6068386179</v>
      </c>
      <c r="E47" s="6">
        <f t="shared" si="2"/>
        <v>2477494.0553220352</v>
      </c>
      <c r="F47" s="6">
        <f t="shared" si="3"/>
        <v>0</v>
      </c>
      <c r="G47" s="6">
        <f t="shared" si="4"/>
        <v>61961101.537094563</v>
      </c>
      <c r="H47" s="23">
        <f t="shared" si="5"/>
        <v>500000</v>
      </c>
      <c r="J47">
        <v>37</v>
      </c>
      <c r="K47" s="4">
        <f t="shared" si="6"/>
        <v>3199782.0404930986</v>
      </c>
      <c r="L47" s="4">
        <f t="shared" si="7"/>
        <v>731738.03991733864</v>
      </c>
      <c r="M47" s="4">
        <f t="shared" si="8"/>
        <v>2468044.0005757599</v>
      </c>
      <c r="N47" s="4">
        <f t="shared" si="9"/>
        <v>0</v>
      </c>
      <c r="O47" s="4">
        <f t="shared" si="10"/>
        <v>64053595.991909578</v>
      </c>
    </row>
    <row r="48" spans="2:15" x14ac:dyDescent="0.3">
      <c r="B48">
        <v>39</v>
      </c>
      <c r="C48" s="6">
        <f t="shared" si="0"/>
        <v>681572.11690804013</v>
      </c>
      <c r="D48" s="6">
        <f t="shared" si="1"/>
        <v>3186318.6068386179</v>
      </c>
      <c r="E48" s="6">
        <f t="shared" si="2"/>
        <v>2504746.4899305776</v>
      </c>
      <c r="F48" s="6">
        <f t="shared" si="3"/>
        <v>0</v>
      </c>
      <c r="G48" s="6">
        <f t="shared" si="4"/>
        <v>59456355.047163986</v>
      </c>
      <c r="H48" s="23">
        <f t="shared" si="5"/>
        <v>500000</v>
      </c>
      <c r="J48">
        <v>38</v>
      </c>
      <c r="K48" s="4">
        <f t="shared" si="6"/>
        <v>3199782.0404930986</v>
      </c>
      <c r="L48" s="4">
        <f t="shared" si="7"/>
        <v>704589.55591100536</v>
      </c>
      <c r="M48" s="4">
        <f t="shared" si="8"/>
        <v>2495192.4845820931</v>
      </c>
      <c r="N48" s="4">
        <f t="shared" si="9"/>
        <v>0</v>
      </c>
      <c r="O48" s="4">
        <f t="shared" si="10"/>
        <v>61558403.507327482</v>
      </c>
    </row>
    <row r="49" spans="2:15" x14ac:dyDescent="0.3">
      <c r="B49">
        <v>40</v>
      </c>
      <c r="C49" s="6">
        <f t="shared" si="0"/>
        <v>654019.90551880386</v>
      </c>
      <c r="D49" s="6">
        <f t="shared" si="1"/>
        <v>3186318.6068386175</v>
      </c>
      <c r="E49" s="6">
        <f t="shared" si="2"/>
        <v>2532298.7013198137</v>
      </c>
      <c r="F49" s="6">
        <f t="shared" si="3"/>
        <v>0</v>
      </c>
      <c r="G49" s="6">
        <f t="shared" si="4"/>
        <v>56924056.345844172</v>
      </c>
      <c r="H49" s="23">
        <f t="shared" si="5"/>
        <v>500000</v>
      </c>
      <c r="J49">
        <v>39</v>
      </c>
      <c r="K49" s="4">
        <f t="shared" si="6"/>
        <v>3199782.0404930986</v>
      </c>
      <c r="L49" s="4">
        <f t="shared" si="7"/>
        <v>677142.43858060229</v>
      </c>
      <c r="M49" s="4">
        <f t="shared" si="8"/>
        <v>2522639.6019124961</v>
      </c>
      <c r="N49" s="4">
        <f t="shared" si="9"/>
        <v>0</v>
      </c>
      <c r="O49" s="4">
        <f t="shared" si="10"/>
        <v>59035763.905414984</v>
      </c>
    </row>
    <row r="50" spans="2:15" x14ac:dyDescent="0.3">
      <c r="B50">
        <v>41</v>
      </c>
      <c r="C50" s="6">
        <f t="shared" si="0"/>
        <v>626164.61980428582</v>
      </c>
      <c r="D50" s="6">
        <f t="shared" si="1"/>
        <v>3186318.6068386179</v>
      </c>
      <c r="E50" s="6">
        <f t="shared" si="2"/>
        <v>2560153.987034332</v>
      </c>
      <c r="F50" s="6">
        <f t="shared" si="3"/>
        <v>0</v>
      </c>
      <c r="G50" s="6">
        <f t="shared" si="4"/>
        <v>54363902.358809844</v>
      </c>
      <c r="H50" s="23">
        <f t="shared" si="5"/>
        <v>500000</v>
      </c>
      <c r="J50">
        <v>40</v>
      </c>
      <c r="K50" s="4">
        <f t="shared" si="6"/>
        <v>3199782.0404930986</v>
      </c>
      <c r="L50" s="4">
        <f t="shared" si="7"/>
        <v>649393.40295956482</v>
      </c>
      <c r="M50" s="4">
        <f t="shared" si="8"/>
        <v>2550388.6375335339</v>
      </c>
      <c r="N50" s="4">
        <f t="shared" si="9"/>
        <v>0</v>
      </c>
      <c r="O50" s="4">
        <f t="shared" si="10"/>
        <v>56485375.267881453</v>
      </c>
    </row>
    <row r="51" spans="2:15" x14ac:dyDescent="0.3">
      <c r="B51">
        <v>42</v>
      </c>
      <c r="C51" s="6">
        <f t="shared" si="0"/>
        <v>598002.92594690819</v>
      </c>
      <c r="D51" s="6">
        <f t="shared" si="1"/>
        <v>3186318.6068386179</v>
      </c>
      <c r="E51" s="6">
        <f t="shared" si="2"/>
        <v>2588315.6808917099</v>
      </c>
      <c r="F51" s="6">
        <f t="shared" si="3"/>
        <v>0</v>
      </c>
      <c r="G51" s="6">
        <f t="shared" si="4"/>
        <v>51775586.677918136</v>
      </c>
      <c r="H51" s="23">
        <f t="shared" si="5"/>
        <v>500000</v>
      </c>
      <c r="J51">
        <v>41</v>
      </c>
      <c r="K51" s="4">
        <f t="shared" si="6"/>
        <v>3199782.0404930986</v>
      </c>
      <c r="L51" s="4">
        <f t="shared" si="7"/>
        <v>621339.12794669589</v>
      </c>
      <c r="M51" s="4">
        <f t="shared" si="8"/>
        <v>2578442.9125464028</v>
      </c>
      <c r="N51" s="4">
        <f t="shared" si="9"/>
        <v>0</v>
      </c>
      <c r="O51" s="4">
        <f t="shared" si="10"/>
        <v>53906932.355335049</v>
      </c>
    </row>
    <row r="52" spans="2:15" x14ac:dyDescent="0.3">
      <c r="B52">
        <v>43</v>
      </c>
      <c r="C52" s="6">
        <f t="shared" si="0"/>
        <v>569531.4534570995</v>
      </c>
      <c r="D52" s="6">
        <f t="shared" si="1"/>
        <v>3186318.6068386189</v>
      </c>
      <c r="E52" s="6">
        <f t="shared" si="2"/>
        <v>2616787.1533815195</v>
      </c>
      <c r="F52" s="6">
        <f t="shared" si="3"/>
        <v>0</v>
      </c>
      <c r="G52" s="6">
        <f t="shared" si="4"/>
        <v>49158799.524536617</v>
      </c>
      <c r="H52" s="23">
        <f t="shared" si="5"/>
        <v>500000</v>
      </c>
      <c r="J52">
        <v>42</v>
      </c>
      <c r="K52" s="4">
        <f t="shared" si="6"/>
        <v>3199782.0404930986</v>
      </c>
      <c r="L52" s="4">
        <f t="shared" si="7"/>
        <v>592976.2559086855</v>
      </c>
      <c r="M52" s="4">
        <f t="shared" si="8"/>
        <v>2606805.7845844133</v>
      </c>
      <c r="N52" s="4">
        <f t="shared" si="9"/>
        <v>0</v>
      </c>
      <c r="O52" s="4">
        <f t="shared" si="10"/>
        <v>51300126.570750639</v>
      </c>
    </row>
    <row r="53" spans="2:15" x14ac:dyDescent="0.3">
      <c r="B53">
        <v>44</v>
      </c>
      <c r="C53" s="6">
        <f t="shared" si="0"/>
        <v>540746.79476990271</v>
      </c>
      <c r="D53" s="6">
        <f t="shared" si="1"/>
        <v>3186318.6068386189</v>
      </c>
      <c r="E53" s="6">
        <f t="shared" si="2"/>
        <v>2645571.8120687162</v>
      </c>
      <c r="F53" s="6">
        <f t="shared" si="3"/>
        <v>0</v>
      </c>
      <c r="G53" s="6">
        <f t="shared" si="4"/>
        <v>46513227.712467901</v>
      </c>
      <c r="H53" s="23">
        <f t="shared" si="5"/>
        <v>500000</v>
      </c>
      <c r="J53">
        <v>43</v>
      </c>
      <c r="K53" s="4">
        <f t="shared" si="6"/>
        <v>3199782.0404930986</v>
      </c>
      <c r="L53" s="4">
        <f t="shared" si="7"/>
        <v>564301.39227825694</v>
      </c>
      <c r="M53" s="4">
        <f t="shared" si="8"/>
        <v>2635480.6482148417</v>
      </c>
      <c r="N53" s="4">
        <f t="shared" si="9"/>
        <v>0</v>
      </c>
      <c r="O53" s="4">
        <f t="shared" si="10"/>
        <v>48664645.922535799</v>
      </c>
    </row>
    <row r="54" spans="2:15" x14ac:dyDescent="0.3">
      <c r="B54">
        <v>45</v>
      </c>
      <c r="C54" s="6">
        <f t="shared" si="0"/>
        <v>511645.5048371469</v>
      </c>
      <c r="D54" s="6">
        <f t="shared" si="1"/>
        <v>3186318.6068386179</v>
      </c>
      <c r="E54" s="6">
        <f t="shared" si="2"/>
        <v>2674673.102001471</v>
      </c>
      <c r="F54" s="6">
        <f t="shared" si="3"/>
        <v>0</v>
      </c>
      <c r="G54" s="6">
        <f t="shared" si="4"/>
        <v>43838554.610466428</v>
      </c>
      <c r="H54" s="23">
        <f t="shared" si="5"/>
        <v>500000</v>
      </c>
      <c r="J54">
        <v>44</v>
      </c>
      <c r="K54" s="4">
        <f t="shared" si="6"/>
        <v>3199782.0404930986</v>
      </c>
      <c r="L54" s="4">
        <f t="shared" si="7"/>
        <v>535311.10514789377</v>
      </c>
      <c r="M54" s="4">
        <f t="shared" si="8"/>
        <v>2664470.9353452045</v>
      </c>
      <c r="N54" s="4">
        <f t="shared" si="9"/>
        <v>0</v>
      </c>
      <c r="O54" s="4">
        <f t="shared" si="10"/>
        <v>46000174.987190597</v>
      </c>
    </row>
    <row r="55" spans="2:15" x14ac:dyDescent="0.3">
      <c r="B55">
        <v>46</v>
      </c>
      <c r="C55" s="6">
        <f t="shared" si="0"/>
        <v>482224.10071513068</v>
      </c>
      <c r="D55" s="6">
        <f t="shared" si="1"/>
        <v>3186318.6068386179</v>
      </c>
      <c r="E55" s="6">
        <f t="shared" si="2"/>
        <v>2704094.5061234874</v>
      </c>
      <c r="F55" s="6">
        <f t="shared" si="3"/>
        <v>0</v>
      </c>
      <c r="G55" s="6">
        <f t="shared" si="4"/>
        <v>41134460.104342937</v>
      </c>
      <c r="H55" s="23">
        <f t="shared" si="5"/>
        <v>500000</v>
      </c>
      <c r="J55">
        <v>45</v>
      </c>
      <c r="K55" s="4">
        <f t="shared" si="6"/>
        <v>3199782.0404930986</v>
      </c>
      <c r="L55" s="4">
        <f t="shared" si="7"/>
        <v>506001.92485909653</v>
      </c>
      <c r="M55" s="4">
        <f t="shared" si="8"/>
        <v>2693780.1156340018</v>
      </c>
      <c r="N55" s="4">
        <f t="shared" si="9"/>
        <v>0</v>
      </c>
      <c r="O55" s="4">
        <f t="shared" si="10"/>
        <v>43306394.871556595</v>
      </c>
    </row>
    <row r="56" spans="2:15" x14ac:dyDescent="0.3">
      <c r="B56">
        <v>47</v>
      </c>
      <c r="C56" s="6">
        <f t="shared" si="0"/>
        <v>452479.0611477723</v>
      </c>
      <c r="D56" s="6">
        <f t="shared" si="1"/>
        <v>3186318.6068386179</v>
      </c>
      <c r="E56" s="6">
        <f t="shared" si="2"/>
        <v>2733839.5456908457</v>
      </c>
      <c r="F56" s="6">
        <f t="shared" si="3"/>
        <v>0</v>
      </c>
      <c r="G56" s="6">
        <f t="shared" si="4"/>
        <v>38400620.558652088</v>
      </c>
      <c r="H56" s="23">
        <f t="shared" si="5"/>
        <v>500000</v>
      </c>
      <c r="J56">
        <v>46</v>
      </c>
      <c r="K56" s="4">
        <f t="shared" si="6"/>
        <v>3199782.0404930986</v>
      </c>
      <c r="L56" s="4">
        <f t="shared" si="7"/>
        <v>476370.34358712251</v>
      </c>
      <c r="M56" s="4">
        <f t="shared" si="8"/>
        <v>2723411.6969059762</v>
      </c>
      <c r="N56" s="4">
        <f t="shared" si="9"/>
        <v>0</v>
      </c>
      <c r="O56" s="4">
        <f t="shared" si="10"/>
        <v>40582983.174650617</v>
      </c>
    </row>
    <row r="57" spans="2:15" x14ac:dyDescent="0.3">
      <c r="B57">
        <v>48</v>
      </c>
      <c r="C57" s="6">
        <f t="shared" si="0"/>
        <v>422406.82614517293</v>
      </c>
      <c r="D57" s="6">
        <f t="shared" si="1"/>
        <v>3186318.6068386179</v>
      </c>
      <c r="E57" s="6">
        <f t="shared" si="2"/>
        <v>2763911.7806934449</v>
      </c>
      <c r="F57" s="6">
        <f t="shared" si="3"/>
        <v>0</v>
      </c>
      <c r="G57" s="6">
        <f t="shared" si="4"/>
        <v>35636708.777958646</v>
      </c>
      <c r="H57" s="23">
        <f t="shared" si="5"/>
        <v>500000</v>
      </c>
      <c r="J57">
        <v>47</v>
      </c>
      <c r="K57" s="4">
        <f t="shared" si="6"/>
        <v>3199782.0404930986</v>
      </c>
      <c r="L57" s="4">
        <f t="shared" si="7"/>
        <v>446412.81492115674</v>
      </c>
      <c r="M57" s="4">
        <f t="shared" si="8"/>
        <v>2753369.2255719416</v>
      </c>
      <c r="N57" s="4">
        <f t="shared" si="9"/>
        <v>0</v>
      </c>
      <c r="O57" s="4">
        <f t="shared" si="10"/>
        <v>37829613.949078679</v>
      </c>
    </row>
    <row r="58" spans="2:15" x14ac:dyDescent="0.3">
      <c r="B58">
        <v>49</v>
      </c>
      <c r="C58" s="6">
        <f t="shared" si="0"/>
        <v>392003.79655754508</v>
      </c>
      <c r="D58" s="6">
        <f t="shared" si="1"/>
        <v>3186318.6068386175</v>
      </c>
      <c r="E58" s="6">
        <f t="shared" si="2"/>
        <v>2794314.8102810723</v>
      </c>
      <c r="F58" s="6">
        <f t="shared" si="3"/>
        <v>0</v>
      </c>
      <c r="G58" s="6">
        <f t="shared" si="4"/>
        <v>32842393.967677575</v>
      </c>
      <c r="H58" s="23">
        <f t="shared" si="5"/>
        <v>500000</v>
      </c>
      <c r="J58">
        <v>48</v>
      </c>
      <c r="K58" s="4">
        <f t="shared" si="6"/>
        <v>3199782.0404930986</v>
      </c>
      <c r="L58" s="4">
        <f t="shared" si="7"/>
        <v>416125.75343986542</v>
      </c>
      <c r="M58" s="4">
        <f t="shared" si="8"/>
        <v>2783656.287053233</v>
      </c>
      <c r="N58" s="4">
        <f t="shared" si="9"/>
        <v>0</v>
      </c>
      <c r="O58" s="4">
        <f t="shared" si="10"/>
        <v>35045957.662025444</v>
      </c>
    </row>
    <row r="59" spans="2:15" x14ac:dyDescent="0.3">
      <c r="B59">
        <v>50</v>
      </c>
      <c r="C59" s="6">
        <f t="shared" si="0"/>
        <v>361266.33364445332</v>
      </c>
      <c r="D59" s="6">
        <f t="shared" si="1"/>
        <v>3186318.6068386179</v>
      </c>
      <c r="E59" s="6">
        <f t="shared" si="2"/>
        <v>2825052.2731941645</v>
      </c>
      <c r="F59" s="6">
        <f t="shared" si="3"/>
        <v>0</v>
      </c>
      <c r="G59" s="6">
        <f t="shared" si="4"/>
        <v>30017341.694483411</v>
      </c>
      <c r="H59" s="23">
        <f t="shared" si="5"/>
        <v>500000</v>
      </c>
      <c r="J59">
        <v>49</v>
      </c>
      <c r="K59" s="4">
        <f t="shared" si="6"/>
        <v>3199782.0404930986</v>
      </c>
      <c r="L59" s="4">
        <f t="shared" si="7"/>
        <v>385505.53428227984</v>
      </c>
      <c r="M59" s="4">
        <f t="shared" si="8"/>
        <v>2814276.5062108189</v>
      </c>
      <c r="N59" s="4">
        <f t="shared" si="9"/>
        <v>0</v>
      </c>
      <c r="O59" s="4">
        <f t="shared" si="10"/>
        <v>32231681.155814625</v>
      </c>
    </row>
    <row r="60" spans="2:15" x14ac:dyDescent="0.3">
      <c r="B60">
        <v>51</v>
      </c>
      <c r="C60" s="6">
        <f t="shared" si="0"/>
        <v>330190.75863931747</v>
      </c>
      <c r="D60" s="6">
        <f t="shared" si="1"/>
        <v>3186318.6068386179</v>
      </c>
      <c r="E60" s="6">
        <f t="shared" si="2"/>
        <v>2856127.8481993005</v>
      </c>
      <c r="F60" s="6">
        <f t="shared" si="3"/>
        <v>0</v>
      </c>
      <c r="G60" s="6">
        <f t="shared" si="4"/>
        <v>27161213.84628411</v>
      </c>
      <c r="H60" s="23">
        <f t="shared" si="5"/>
        <v>500000</v>
      </c>
      <c r="J60">
        <v>50</v>
      </c>
      <c r="K60" s="4">
        <f t="shared" si="6"/>
        <v>3199782.0404930986</v>
      </c>
      <c r="L60" s="4">
        <f t="shared" si="7"/>
        <v>354548.49271396088</v>
      </c>
      <c r="M60" s="4">
        <f t="shared" si="8"/>
        <v>2845233.5477791377</v>
      </c>
      <c r="N60" s="4">
        <f t="shared" si="9"/>
        <v>0</v>
      </c>
      <c r="O60" s="4">
        <f t="shared" si="10"/>
        <v>29386447.608035486</v>
      </c>
    </row>
    <row r="61" spans="2:15" x14ac:dyDescent="0.3">
      <c r="B61">
        <v>52</v>
      </c>
      <c r="C61" s="6">
        <f t="shared" si="0"/>
        <v>298773.35230912518</v>
      </c>
      <c r="D61" s="6">
        <f t="shared" si="1"/>
        <v>3186318.6068386179</v>
      </c>
      <c r="E61" s="6">
        <f t="shared" si="2"/>
        <v>2887545.2545294929</v>
      </c>
      <c r="F61" s="6">
        <f t="shared" si="3"/>
        <v>0</v>
      </c>
      <c r="G61" s="6">
        <f t="shared" si="4"/>
        <v>24273668.591754615</v>
      </c>
      <c r="H61" s="23">
        <f t="shared" si="5"/>
        <v>500000</v>
      </c>
      <c r="J61">
        <v>51</v>
      </c>
      <c r="K61" s="4">
        <f t="shared" si="6"/>
        <v>3199782.0404930986</v>
      </c>
      <c r="L61" s="4">
        <f t="shared" si="7"/>
        <v>323250.92368839035</v>
      </c>
      <c r="M61" s="4">
        <f t="shared" si="8"/>
        <v>2876531.1168047083</v>
      </c>
      <c r="N61" s="4">
        <f t="shared" si="9"/>
        <v>0</v>
      </c>
      <c r="O61" s="4">
        <f t="shared" si="10"/>
        <v>26509916.491230778</v>
      </c>
    </row>
    <row r="62" spans="2:15" x14ac:dyDescent="0.3">
      <c r="B62">
        <v>53</v>
      </c>
      <c r="C62" s="6">
        <f t="shared" si="0"/>
        <v>267010.35450930073</v>
      </c>
      <c r="D62" s="6">
        <f t="shared" si="1"/>
        <v>3186318.6068386175</v>
      </c>
      <c r="E62" s="6">
        <f t="shared" si="2"/>
        <v>2919308.2523293169</v>
      </c>
      <c r="F62" s="6">
        <f t="shared" si="3"/>
        <v>0</v>
      </c>
      <c r="G62" s="6">
        <f t="shared" si="4"/>
        <v>21354360.339425299</v>
      </c>
      <c r="H62" s="23">
        <f t="shared" si="5"/>
        <v>500000</v>
      </c>
      <c r="J62">
        <v>52</v>
      </c>
      <c r="K62" s="4">
        <f t="shared" si="6"/>
        <v>3199782.0404930986</v>
      </c>
      <c r="L62" s="4">
        <f t="shared" si="7"/>
        <v>291609.08140353853</v>
      </c>
      <c r="M62" s="4">
        <f t="shared" si="8"/>
        <v>2908172.95908956</v>
      </c>
      <c r="N62" s="4">
        <f t="shared" si="9"/>
        <v>0</v>
      </c>
      <c r="O62" s="4">
        <f t="shared" si="10"/>
        <v>23601743.53214122</v>
      </c>
    </row>
    <row r="63" spans="2:15" x14ac:dyDescent="0.3">
      <c r="B63">
        <v>54</v>
      </c>
      <c r="C63" s="6">
        <f t="shared" si="0"/>
        <v>234897.96373367828</v>
      </c>
      <c r="D63" s="6">
        <f t="shared" si="1"/>
        <v>3186318.6068386179</v>
      </c>
      <c r="E63" s="6">
        <f t="shared" si="2"/>
        <v>2951420.6431049397</v>
      </c>
      <c r="F63" s="6">
        <f t="shared" si="3"/>
        <v>0</v>
      </c>
      <c r="G63" s="6">
        <f t="shared" si="4"/>
        <v>18402939.696320359</v>
      </c>
      <c r="H63" s="23">
        <f t="shared" si="5"/>
        <v>500000</v>
      </c>
      <c r="J63">
        <v>53</v>
      </c>
      <c r="K63" s="4">
        <f t="shared" si="6"/>
        <v>3199782.0404930986</v>
      </c>
      <c r="L63" s="4">
        <f t="shared" si="7"/>
        <v>259619.1788535534</v>
      </c>
      <c r="M63" s="4">
        <f t="shared" si="8"/>
        <v>2940162.8616395453</v>
      </c>
      <c r="N63" s="4">
        <f t="shared" si="9"/>
        <v>0</v>
      </c>
      <c r="O63" s="4">
        <f t="shared" si="10"/>
        <v>20661580.670501675</v>
      </c>
    </row>
    <row r="64" spans="2:15" x14ac:dyDescent="0.3">
      <c r="B64">
        <v>55</v>
      </c>
      <c r="C64" s="6">
        <f t="shared" si="0"/>
        <v>202432.33665952392</v>
      </c>
      <c r="D64" s="6">
        <f t="shared" si="1"/>
        <v>3186318.6068386175</v>
      </c>
      <c r="E64" s="6">
        <f t="shared" si="2"/>
        <v>2983886.2701790933</v>
      </c>
      <c r="F64" s="6">
        <f t="shared" si="3"/>
        <v>0</v>
      </c>
      <c r="G64" s="6">
        <f t="shared" si="4"/>
        <v>15419053.426141266</v>
      </c>
      <c r="H64" s="23">
        <f t="shared" si="5"/>
        <v>500000</v>
      </c>
      <c r="J64">
        <v>54</v>
      </c>
      <c r="K64" s="4">
        <f t="shared" si="6"/>
        <v>3199782.0404930986</v>
      </c>
      <c r="L64" s="4">
        <f t="shared" si="7"/>
        <v>227277.38737551842</v>
      </c>
      <c r="M64" s="4">
        <f t="shared" si="8"/>
        <v>2972504.6531175803</v>
      </c>
      <c r="N64" s="4">
        <f t="shared" si="9"/>
        <v>0</v>
      </c>
      <c r="O64" s="4">
        <f t="shared" si="10"/>
        <v>17689076.017384097</v>
      </c>
    </row>
    <row r="65" spans="2:15" x14ac:dyDescent="0.3">
      <c r="B65">
        <v>56</v>
      </c>
      <c r="C65" s="6">
        <f t="shared" si="0"/>
        <v>169609.58768755393</v>
      </c>
      <c r="D65" s="6">
        <f t="shared" si="1"/>
        <v>3186318.6068386179</v>
      </c>
      <c r="E65" s="6">
        <f t="shared" si="2"/>
        <v>3016709.0191510641</v>
      </c>
      <c r="F65" s="6">
        <f t="shared" si="3"/>
        <v>0</v>
      </c>
      <c r="G65" s="6">
        <f t="shared" si="4"/>
        <v>12402344.406990202</v>
      </c>
      <c r="H65" s="23">
        <f t="shared" si="5"/>
        <v>500000</v>
      </c>
      <c r="J65">
        <v>55</v>
      </c>
      <c r="K65" s="4">
        <f t="shared" si="6"/>
        <v>3199782.0404930986</v>
      </c>
      <c r="L65" s="4">
        <f t="shared" si="7"/>
        <v>194579.83619122507</v>
      </c>
      <c r="M65" s="4">
        <f t="shared" si="8"/>
        <v>3005202.2043018737</v>
      </c>
      <c r="N65" s="4">
        <f t="shared" si="9"/>
        <v>0</v>
      </c>
      <c r="O65" s="4">
        <f t="shared" si="10"/>
        <v>14683873.813082224</v>
      </c>
    </row>
    <row r="66" spans="2:15" x14ac:dyDescent="0.3">
      <c r="B66">
        <v>57</v>
      </c>
      <c r="C66" s="6">
        <f t="shared" si="0"/>
        <v>136425.78847689222</v>
      </c>
      <c r="D66" s="6">
        <f t="shared" si="1"/>
        <v>3186318.6068386175</v>
      </c>
      <c r="E66" s="6">
        <f t="shared" si="2"/>
        <v>3049892.8183617252</v>
      </c>
      <c r="F66" s="6">
        <f t="shared" si="3"/>
        <v>0</v>
      </c>
      <c r="G66" s="6">
        <f t="shared" si="4"/>
        <v>9352451.5886284765</v>
      </c>
      <c r="H66" s="23">
        <f t="shared" si="5"/>
        <v>500000</v>
      </c>
      <c r="J66">
        <v>56</v>
      </c>
      <c r="K66" s="4">
        <f t="shared" si="6"/>
        <v>3199782.0404930986</v>
      </c>
      <c r="L66" s="4">
        <f t="shared" si="7"/>
        <v>161522.61194390446</v>
      </c>
      <c r="M66" s="4">
        <f t="shared" si="8"/>
        <v>3038259.4285491942</v>
      </c>
      <c r="N66" s="4">
        <f t="shared" si="9"/>
        <v>0</v>
      </c>
      <c r="O66" s="4">
        <f t="shared" si="10"/>
        <v>11645614.384533029</v>
      </c>
    </row>
    <row r="67" spans="2:15" x14ac:dyDescent="0.3">
      <c r="B67">
        <v>58</v>
      </c>
      <c r="C67" s="6">
        <f t="shared" si="0"/>
        <v>102876.96747491324</v>
      </c>
      <c r="D67" s="6">
        <f t="shared" si="1"/>
        <v>3186318.606838617</v>
      </c>
      <c r="E67" s="6">
        <f t="shared" si="2"/>
        <v>3083441.6393637038</v>
      </c>
      <c r="F67" s="6">
        <f t="shared" si="3"/>
        <v>0</v>
      </c>
      <c r="G67" s="6">
        <f t="shared" si="4"/>
        <v>6269009.9492647722</v>
      </c>
      <c r="H67" s="23">
        <f t="shared" si="5"/>
        <v>500000</v>
      </c>
      <c r="J67">
        <v>57</v>
      </c>
      <c r="K67" s="4">
        <f t="shared" si="6"/>
        <v>3199782.0404930986</v>
      </c>
      <c r="L67" s="4">
        <f t="shared" si="7"/>
        <v>128101.75822986331</v>
      </c>
      <c r="M67" s="4">
        <f t="shared" si="8"/>
        <v>3071680.2822632352</v>
      </c>
      <c r="N67" s="4">
        <f t="shared" si="9"/>
        <v>0</v>
      </c>
      <c r="O67" s="4">
        <f t="shared" si="10"/>
        <v>8573934.1022697948</v>
      </c>
    </row>
    <row r="68" spans="2:15" x14ac:dyDescent="0.3">
      <c r="B68">
        <v>59</v>
      </c>
      <c r="C68" s="6">
        <f t="shared" si="0"/>
        <v>68959.109441912486</v>
      </c>
      <c r="D68" s="6">
        <f t="shared" si="1"/>
        <v>3186318.6068386175</v>
      </c>
      <c r="E68" s="6">
        <f t="shared" si="2"/>
        <v>3117359.4973967052</v>
      </c>
      <c r="F68" s="6">
        <f t="shared" si="3"/>
        <v>0</v>
      </c>
      <c r="G68" s="6">
        <f t="shared" si="4"/>
        <v>3151650.451868067</v>
      </c>
      <c r="H68" s="23">
        <f t="shared" si="5"/>
        <v>500000</v>
      </c>
      <c r="J68">
        <v>58</v>
      </c>
      <c r="K68" s="4">
        <f t="shared" si="6"/>
        <v>3199782.0404930986</v>
      </c>
      <c r="L68" s="4">
        <f t="shared" si="7"/>
        <v>94313.275124967739</v>
      </c>
      <c r="M68" s="4">
        <f t="shared" si="8"/>
        <v>3105468.765368131</v>
      </c>
      <c r="N68" s="4">
        <f t="shared" si="9"/>
        <v>0</v>
      </c>
      <c r="O68" s="4">
        <f t="shared" si="10"/>
        <v>5468465.3369016638</v>
      </c>
    </row>
    <row r="69" spans="2:15" x14ac:dyDescent="0.3">
      <c r="B69">
        <v>60</v>
      </c>
      <c r="C69" s="6">
        <f t="shared" si="0"/>
        <v>34668.154970548734</v>
      </c>
      <c r="D69" s="6">
        <f t="shared" si="1"/>
        <v>3186318.6068386161</v>
      </c>
      <c r="E69" s="6">
        <f t="shared" si="2"/>
        <v>3151650.4518680675</v>
      </c>
      <c r="F69" s="6">
        <f t="shared" si="3"/>
        <v>0</v>
      </c>
      <c r="G69" s="6">
        <f t="shared" si="4"/>
        <v>-4.6566128730773926E-10</v>
      </c>
      <c r="H69" s="23">
        <f t="shared" si="5"/>
        <v>500000</v>
      </c>
      <c r="J69">
        <v>59</v>
      </c>
      <c r="K69" s="4">
        <f t="shared" si="6"/>
        <v>3199782.0404930986</v>
      </c>
      <c r="L69" s="4">
        <f t="shared" si="7"/>
        <v>60153.118705918299</v>
      </c>
      <c r="M69" s="4">
        <f t="shared" si="8"/>
        <v>3139628.9217871805</v>
      </c>
      <c r="N69" s="4">
        <f t="shared" si="9"/>
        <v>0</v>
      </c>
      <c r="O69" s="4">
        <f t="shared" si="10"/>
        <v>2328836.4151144833</v>
      </c>
    </row>
    <row r="70" spans="2:15" x14ac:dyDescent="0.3">
      <c r="B70">
        <v>61</v>
      </c>
      <c r="C70" s="6"/>
      <c r="E70" s="6"/>
      <c r="F70" s="6"/>
      <c r="G70" s="6"/>
      <c r="H70" s="23">
        <f t="shared" ref="H70:H133" si="11">F70+H69</f>
        <v>500000</v>
      </c>
      <c r="J70">
        <v>60</v>
      </c>
      <c r="K70" s="4">
        <f t="shared" si="6"/>
        <v>2354453.6156807425</v>
      </c>
      <c r="L70" s="4">
        <f t="shared" si="7"/>
        <v>25617.200566259315</v>
      </c>
      <c r="M70" s="4">
        <f t="shared" si="8"/>
        <v>2328836.4151144833</v>
      </c>
      <c r="N70" s="4">
        <f t="shared" si="9"/>
        <v>0</v>
      </c>
      <c r="O70" s="4">
        <f t="shared" si="10"/>
        <v>0</v>
      </c>
    </row>
    <row r="71" spans="2:15" x14ac:dyDescent="0.3">
      <c r="B71">
        <v>62</v>
      </c>
      <c r="C71" s="6"/>
      <c r="D71" s="6"/>
      <c r="E71" s="6"/>
      <c r="F71" s="6"/>
      <c r="G71" s="6"/>
      <c r="H71" s="23">
        <f t="shared" si="11"/>
        <v>500000</v>
      </c>
      <c r="J71">
        <v>61</v>
      </c>
      <c r="K71" s="4">
        <f t="shared" si="6"/>
        <v>0</v>
      </c>
      <c r="L71" s="4">
        <f t="shared" si="7"/>
        <v>0</v>
      </c>
      <c r="M71" s="4">
        <f t="shared" si="8"/>
        <v>0</v>
      </c>
      <c r="N71" s="4">
        <f t="shared" si="9"/>
        <v>0</v>
      </c>
      <c r="O71" s="4">
        <f t="shared" si="10"/>
        <v>0</v>
      </c>
    </row>
    <row r="72" spans="2:15" x14ac:dyDescent="0.3">
      <c r="B72">
        <v>63</v>
      </c>
      <c r="C72" s="6"/>
      <c r="D72" s="6"/>
      <c r="E72" s="6"/>
      <c r="F72" s="6"/>
      <c r="G72" s="6"/>
      <c r="H72" s="23">
        <f t="shared" si="11"/>
        <v>500000</v>
      </c>
      <c r="J72">
        <v>62</v>
      </c>
      <c r="K72" s="4">
        <f t="shared" si="6"/>
        <v>0</v>
      </c>
      <c r="L72" s="4">
        <f t="shared" si="7"/>
        <v>0</v>
      </c>
      <c r="M72" s="4">
        <f t="shared" si="8"/>
        <v>0</v>
      </c>
      <c r="N72" s="4">
        <f t="shared" si="9"/>
        <v>0</v>
      </c>
      <c r="O72" s="4">
        <f t="shared" si="10"/>
        <v>0</v>
      </c>
    </row>
    <row r="73" spans="2:15" x14ac:dyDescent="0.3">
      <c r="B73">
        <v>64</v>
      </c>
      <c r="C73" s="6"/>
      <c r="D73" s="6"/>
      <c r="E73" s="6"/>
      <c r="F73" s="6"/>
      <c r="G73" s="6"/>
      <c r="H73" s="23">
        <f t="shared" si="11"/>
        <v>500000</v>
      </c>
      <c r="J73">
        <v>63</v>
      </c>
      <c r="K73" s="4">
        <f t="shared" si="6"/>
        <v>0</v>
      </c>
      <c r="L73" s="4">
        <f t="shared" si="7"/>
        <v>0</v>
      </c>
      <c r="M73" s="4">
        <f t="shared" si="8"/>
        <v>0</v>
      </c>
      <c r="N73" s="4">
        <f t="shared" si="9"/>
        <v>0</v>
      </c>
      <c r="O73" s="4">
        <f t="shared" si="10"/>
        <v>0</v>
      </c>
    </row>
    <row r="74" spans="2:15" x14ac:dyDescent="0.3">
      <c r="B74">
        <v>65</v>
      </c>
      <c r="C74" s="6"/>
      <c r="D74" s="6"/>
      <c r="E74" s="6"/>
      <c r="F74" s="6"/>
      <c r="G74" s="6"/>
      <c r="H74" s="23">
        <f t="shared" si="11"/>
        <v>500000</v>
      </c>
      <c r="J74">
        <v>64</v>
      </c>
      <c r="K74" s="4">
        <f t="shared" si="6"/>
        <v>0</v>
      </c>
      <c r="L74" s="4">
        <f t="shared" si="7"/>
        <v>0</v>
      </c>
      <c r="M74" s="4">
        <f t="shared" si="8"/>
        <v>0</v>
      </c>
      <c r="N74" s="4">
        <f t="shared" si="9"/>
        <v>0</v>
      </c>
      <c r="O74" s="4">
        <f t="shared" si="10"/>
        <v>0</v>
      </c>
    </row>
    <row r="75" spans="2:15" x14ac:dyDescent="0.3">
      <c r="B75">
        <v>66</v>
      </c>
      <c r="C75" s="6"/>
      <c r="D75" s="6"/>
      <c r="E75" s="6"/>
      <c r="F75" s="6"/>
      <c r="G75" s="6"/>
      <c r="H75" s="23">
        <f t="shared" si="11"/>
        <v>500000</v>
      </c>
      <c r="J75">
        <v>65</v>
      </c>
      <c r="K75" s="4">
        <f t="shared" si="6"/>
        <v>0</v>
      </c>
      <c r="L75" s="4">
        <f t="shared" si="7"/>
        <v>0</v>
      </c>
      <c r="M75" s="4">
        <f t="shared" si="8"/>
        <v>0</v>
      </c>
      <c r="N75" s="4">
        <f t="shared" si="9"/>
        <v>0</v>
      </c>
      <c r="O75" s="4">
        <f t="shared" si="10"/>
        <v>0</v>
      </c>
    </row>
    <row r="76" spans="2:15" x14ac:dyDescent="0.3">
      <c r="B76">
        <v>67</v>
      </c>
      <c r="C76" s="6"/>
      <c r="D76" s="6"/>
      <c r="E76" s="6"/>
      <c r="F76" s="6"/>
      <c r="G76" s="6"/>
      <c r="H76" s="23">
        <f t="shared" si="11"/>
        <v>500000</v>
      </c>
      <c r="J76">
        <v>66</v>
      </c>
      <c r="K76" s="4">
        <f t="shared" ref="K76:K139" si="12">IF(J76&gt;($M$3+$F$3),L76+M76,$C$5)</f>
        <v>0</v>
      </c>
      <c r="L76" s="4">
        <f t="shared" ref="L76:L139" si="13">O75*$C$3</f>
        <v>0</v>
      </c>
      <c r="M76" s="4">
        <f t="shared" ref="M76:M139" si="14">IF(J76&lt;($M$3+$F$3),K76-L76,O75)</f>
        <v>0</v>
      </c>
      <c r="N76" s="4">
        <f t="shared" ref="N76:N139" si="15">IF(B75=$F$3,$F$2,0)</f>
        <v>0</v>
      </c>
      <c r="O76" s="4">
        <f t="shared" ref="O76:O139" si="16">O75-M76-N76</f>
        <v>0</v>
      </c>
    </row>
    <row r="77" spans="2:15" x14ac:dyDescent="0.3">
      <c r="B77">
        <v>68</v>
      </c>
      <c r="C77" s="6"/>
      <c r="D77" s="6"/>
      <c r="E77" s="6"/>
      <c r="F77" s="6"/>
      <c r="G77" s="6"/>
      <c r="H77" s="23">
        <f t="shared" si="11"/>
        <v>500000</v>
      </c>
      <c r="J77">
        <v>67</v>
      </c>
      <c r="K77" s="4">
        <f t="shared" si="12"/>
        <v>0</v>
      </c>
      <c r="L77" s="4">
        <f t="shared" si="13"/>
        <v>0</v>
      </c>
      <c r="M77" s="4">
        <f t="shared" si="14"/>
        <v>0</v>
      </c>
      <c r="N77" s="4">
        <f t="shared" si="15"/>
        <v>0</v>
      </c>
      <c r="O77" s="4">
        <f t="shared" si="16"/>
        <v>0</v>
      </c>
    </row>
    <row r="78" spans="2:15" x14ac:dyDescent="0.3">
      <c r="B78">
        <v>69</v>
      </c>
      <c r="C78" s="6"/>
      <c r="D78" s="6"/>
      <c r="E78" s="6"/>
      <c r="F78" s="6"/>
      <c r="G78" s="6"/>
      <c r="H78" s="23">
        <f t="shared" si="11"/>
        <v>500000</v>
      </c>
      <c r="J78">
        <v>68</v>
      </c>
      <c r="K78" s="4">
        <f t="shared" si="12"/>
        <v>0</v>
      </c>
      <c r="L78" s="4">
        <f t="shared" si="13"/>
        <v>0</v>
      </c>
      <c r="M78" s="4">
        <f t="shared" si="14"/>
        <v>0</v>
      </c>
      <c r="N78" s="4">
        <f t="shared" si="15"/>
        <v>0</v>
      </c>
      <c r="O78" s="4">
        <f t="shared" si="16"/>
        <v>0</v>
      </c>
    </row>
    <row r="79" spans="2:15" x14ac:dyDescent="0.3">
      <c r="B79">
        <v>70</v>
      </c>
      <c r="C79" s="6"/>
      <c r="D79" s="6"/>
      <c r="E79" s="6"/>
      <c r="F79" s="6"/>
      <c r="G79" s="6"/>
      <c r="H79" s="23">
        <f t="shared" si="11"/>
        <v>500000</v>
      </c>
      <c r="J79">
        <v>69</v>
      </c>
      <c r="K79" s="4">
        <f t="shared" si="12"/>
        <v>0</v>
      </c>
      <c r="L79" s="4">
        <f t="shared" si="13"/>
        <v>0</v>
      </c>
      <c r="M79" s="4">
        <f t="shared" si="14"/>
        <v>0</v>
      </c>
      <c r="N79" s="4">
        <f t="shared" si="15"/>
        <v>0</v>
      </c>
      <c r="O79" s="4">
        <f t="shared" si="16"/>
        <v>0</v>
      </c>
    </row>
    <row r="80" spans="2:15" x14ac:dyDescent="0.3">
      <c r="B80">
        <v>71</v>
      </c>
      <c r="C80" s="6"/>
      <c r="D80" s="6"/>
      <c r="E80" s="6"/>
      <c r="F80" s="6"/>
      <c r="G80" s="6"/>
      <c r="H80" s="23">
        <f t="shared" si="11"/>
        <v>500000</v>
      </c>
      <c r="J80">
        <v>70</v>
      </c>
      <c r="K80" s="4">
        <f t="shared" si="12"/>
        <v>0</v>
      </c>
      <c r="L80" s="4">
        <f t="shared" si="13"/>
        <v>0</v>
      </c>
      <c r="M80" s="4">
        <f t="shared" si="14"/>
        <v>0</v>
      </c>
      <c r="N80" s="4">
        <f t="shared" si="15"/>
        <v>0</v>
      </c>
      <c r="O80" s="4">
        <f t="shared" si="16"/>
        <v>0</v>
      </c>
    </row>
    <row r="81" spans="2:15" x14ac:dyDescent="0.3">
      <c r="B81">
        <v>72</v>
      </c>
      <c r="C81" s="6"/>
      <c r="D81" s="6"/>
      <c r="E81" s="6"/>
      <c r="F81" s="6"/>
      <c r="G81" s="6"/>
      <c r="H81" s="23">
        <f t="shared" si="11"/>
        <v>500000</v>
      </c>
      <c r="J81">
        <v>71</v>
      </c>
      <c r="K81" s="4">
        <f t="shared" si="12"/>
        <v>0</v>
      </c>
      <c r="L81" s="4">
        <f t="shared" si="13"/>
        <v>0</v>
      </c>
      <c r="M81" s="4">
        <f t="shared" si="14"/>
        <v>0</v>
      </c>
      <c r="N81" s="4">
        <f t="shared" si="15"/>
        <v>0</v>
      </c>
      <c r="O81" s="4">
        <f t="shared" si="16"/>
        <v>0</v>
      </c>
    </row>
    <row r="82" spans="2:15" x14ac:dyDescent="0.3">
      <c r="B82">
        <v>73</v>
      </c>
      <c r="C82" s="6"/>
      <c r="D82" s="6"/>
      <c r="E82" s="6"/>
      <c r="F82" s="6"/>
      <c r="G82" s="6"/>
      <c r="H82" s="23">
        <f t="shared" si="11"/>
        <v>500000</v>
      </c>
      <c r="J82">
        <v>72</v>
      </c>
      <c r="K82" s="4">
        <f t="shared" si="12"/>
        <v>0</v>
      </c>
      <c r="L82" s="4">
        <f t="shared" si="13"/>
        <v>0</v>
      </c>
      <c r="M82" s="4">
        <f t="shared" si="14"/>
        <v>0</v>
      </c>
      <c r="N82" s="4">
        <f t="shared" si="15"/>
        <v>0</v>
      </c>
      <c r="O82" s="4">
        <f t="shared" si="16"/>
        <v>0</v>
      </c>
    </row>
    <row r="83" spans="2:15" x14ac:dyDescent="0.3">
      <c r="B83">
        <v>74</v>
      </c>
      <c r="C83" s="6"/>
      <c r="D83" s="6"/>
      <c r="E83" s="6"/>
      <c r="F83" s="6"/>
      <c r="G83" s="6"/>
      <c r="H83" s="23">
        <f t="shared" si="11"/>
        <v>500000</v>
      </c>
      <c r="J83">
        <v>73</v>
      </c>
      <c r="K83" s="4">
        <f t="shared" si="12"/>
        <v>0</v>
      </c>
      <c r="L83" s="4">
        <f t="shared" si="13"/>
        <v>0</v>
      </c>
      <c r="M83" s="4">
        <f t="shared" si="14"/>
        <v>0</v>
      </c>
      <c r="N83" s="4">
        <f t="shared" si="15"/>
        <v>0</v>
      </c>
      <c r="O83" s="4">
        <f t="shared" si="16"/>
        <v>0</v>
      </c>
    </row>
    <row r="84" spans="2:15" x14ac:dyDescent="0.3">
      <c r="B84">
        <v>75</v>
      </c>
      <c r="C84" s="6"/>
      <c r="D84" s="6"/>
      <c r="E84" s="6"/>
      <c r="F84" s="6"/>
      <c r="G84" s="6"/>
      <c r="H84" s="23">
        <f t="shared" si="11"/>
        <v>500000</v>
      </c>
      <c r="J84">
        <v>74</v>
      </c>
      <c r="K84" s="4">
        <f t="shared" si="12"/>
        <v>0</v>
      </c>
      <c r="L84" s="4">
        <f t="shared" si="13"/>
        <v>0</v>
      </c>
      <c r="M84" s="4">
        <f t="shared" si="14"/>
        <v>0</v>
      </c>
      <c r="N84" s="4">
        <f t="shared" si="15"/>
        <v>0</v>
      </c>
      <c r="O84" s="4">
        <f t="shared" si="16"/>
        <v>0</v>
      </c>
    </row>
    <row r="85" spans="2:15" x14ac:dyDescent="0.3">
      <c r="B85">
        <v>76</v>
      </c>
      <c r="C85" s="6"/>
      <c r="D85" s="6"/>
      <c r="E85" s="6"/>
      <c r="F85" s="6"/>
      <c r="G85" s="6"/>
      <c r="H85" s="23">
        <f t="shared" si="11"/>
        <v>500000</v>
      </c>
      <c r="J85">
        <v>75</v>
      </c>
      <c r="K85" s="4">
        <f t="shared" si="12"/>
        <v>0</v>
      </c>
      <c r="L85" s="4">
        <f t="shared" si="13"/>
        <v>0</v>
      </c>
      <c r="M85" s="4">
        <f t="shared" si="14"/>
        <v>0</v>
      </c>
      <c r="N85" s="4">
        <f t="shared" si="15"/>
        <v>0</v>
      </c>
      <c r="O85" s="4">
        <f t="shared" si="16"/>
        <v>0</v>
      </c>
    </row>
    <row r="86" spans="2:15" x14ac:dyDescent="0.3">
      <c r="B86">
        <v>77</v>
      </c>
      <c r="C86" s="6"/>
      <c r="D86" s="6"/>
      <c r="E86" s="6"/>
      <c r="F86" s="6"/>
      <c r="G86" s="6"/>
      <c r="H86" s="23">
        <f t="shared" si="11"/>
        <v>500000</v>
      </c>
      <c r="J86">
        <v>76</v>
      </c>
      <c r="K86" s="4">
        <f t="shared" si="12"/>
        <v>0</v>
      </c>
      <c r="L86" s="4">
        <f t="shared" si="13"/>
        <v>0</v>
      </c>
      <c r="M86" s="4">
        <f t="shared" si="14"/>
        <v>0</v>
      </c>
      <c r="N86" s="4">
        <f t="shared" si="15"/>
        <v>0</v>
      </c>
      <c r="O86" s="4">
        <f t="shared" si="16"/>
        <v>0</v>
      </c>
    </row>
    <row r="87" spans="2:15" x14ac:dyDescent="0.3">
      <c r="B87">
        <v>78</v>
      </c>
      <c r="C87" s="6"/>
      <c r="D87" s="6"/>
      <c r="E87" s="6"/>
      <c r="F87" s="6"/>
      <c r="G87" s="6"/>
      <c r="H87" s="23">
        <f t="shared" si="11"/>
        <v>500000</v>
      </c>
      <c r="J87">
        <v>77</v>
      </c>
      <c r="K87" s="4">
        <f t="shared" si="12"/>
        <v>0</v>
      </c>
      <c r="L87" s="4">
        <f t="shared" si="13"/>
        <v>0</v>
      </c>
      <c r="M87" s="4">
        <f t="shared" si="14"/>
        <v>0</v>
      </c>
      <c r="N87" s="4">
        <f t="shared" si="15"/>
        <v>0</v>
      </c>
      <c r="O87" s="4">
        <f t="shared" si="16"/>
        <v>0</v>
      </c>
    </row>
    <row r="88" spans="2:15" x14ac:dyDescent="0.3">
      <c r="B88">
        <v>79</v>
      </c>
      <c r="C88" s="6"/>
      <c r="D88" s="6"/>
      <c r="E88" s="6"/>
      <c r="F88" s="6"/>
      <c r="G88" s="6"/>
      <c r="H88" s="23">
        <f t="shared" si="11"/>
        <v>500000</v>
      </c>
      <c r="J88">
        <v>78</v>
      </c>
      <c r="K88" s="4">
        <f t="shared" si="12"/>
        <v>0</v>
      </c>
      <c r="L88" s="4">
        <f t="shared" si="13"/>
        <v>0</v>
      </c>
      <c r="M88" s="4">
        <f t="shared" si="14"/>
        <v>0</v>
      </c>
      <c r="N88" s="4">
        <f t="shared" si="15"/>
        <v>0</v>
      </c>
      <c r="O88" s="4">
        <f t="shared" si="16"/>
        <v>0</v>
      </c>
    </row>
    <row r="89" spans="2:15" x14ac:dyDescent="0.3">
      <c r="B89">
        <v>80</v>
      </c>
      <c r="C89" s="6"/>
      <c r="D89" s="6"/>
      <c r="E89" s="6"/>
      <c r="F89" s="6"/>
      <c r="G89" s="6"/>
      <c r="H89" s="23">
        <f t="shared" si="11"/>
        <v>500000</v>
      </c>
      <c r="J89">
        <v>79</v>
      </c>
      <c r="K89" s="4">
        <f t="shared" si="12"/>
        <v>0</v>
      </c>
      <c r="L89" s="4">
        <f t="shared" si="13"/>
        <v>0</v>
      </c>
      <c r="M89" s="4">
        <f t="shared" si="14"/>
        <v>0</v>
      </c>
      <c r="N89" s="4">
        <f t="shared" si="15"/>
        <v>0</v>
      </c>
      <c r="O89" s="4">
        <f t="shared" si="16"/>
        <v>0</v>
      </c>
    </row>
    <row r="90" spans="2:15" x14ac:dyDescent="0.3">
      <c r="B90">
        <v>81</v>
      </c>
      <c r="C90" s="6"/>
      <c r="D90" s="6"/>
      <c r="E90" s="6"/>
      <c r="F90" s="6"/>
      <c r="G90" s="6"/>
      <c r="H90" s="23">
        <f t="shared" si="11"/>
        <v>500000</v>
      </c>
      <c r="J90">
        <v>80</v>
      </c>
      <c r="K90" s="4">
        <f t="shared" si="12"/>
        <v>0</v>
      </c>
      <c r="L90" s="4">
        <f t="shared" si="13"/>
        <v>0</v>
      </c>
      <c r="M90" s="4">
        <f t="shared" si="14"/>
        <v>0</v>
      </c>
      <c r="N90" s="4">
        <f t="shared" si="15"/>
        <v>0</v>
      </c>
      <c r="O90" s="4">
        <f t="shared" si="16"/>
        <v>0</v>
      </c>
    </row>
    <row r="91" spans="2:15" x14ac:dyDescent="0.3">
      <c r="B91">
        <v>82</v>
      </c>
      <c r="C91" s="6"/>
      <c r="D91" s="6"/>
      <c r="E91" s="6"/>
      <c r="F91" s="6"/>
      <c r="G91" s="6"/>
      <c r="H91" s="23">
        <f t="shared" si="11"/>
        <v>500000</v>
      </c>
      <c r="J91">
        <v>81</v>
      </c>
      <c r="K91" s="4">
        <f t="shared" si="12"/>
        <v>0</v>
      </c>
      <c r="L91" s="4">
        <f t="shared" si="13"/>
        <v>0</v>
      </c>
      <c r="M91" s="4">
        <f t="shared" si="14"/>
        <v>0</v>
      </c>
      <c r="N91" s="4">
        <f t="shared" si="15"/>
        <v>0</v>
      </c>
      <c r="O91" s="4">
        <f t="shared" si="16"/>
        <v>0</v>
      </c>
    </row>
    <row r="92" spans="2:15" x14ac:dyDescent="0.3">
      <c r="B92">
        <v>83</v>
      </c>
      <c r="C92" s="6"/>
      <c r="D92" s="6"/>
      <c r="E92" s="6"/>
      <c r="F92" s="6"/>
      <c r="G92" s="6"/>
      <c r="H92" s="23">
        <f t="shared" si="11"/>
        <v>500000</v>
      </c>
      <c r="J92">
        <v>82</v>
      </c>
      <c r="K92" s="4">
        <f t="shared" si="12"/>
        <v>0</v>
      </c>
      <c r="L92" s="4">
        <f t="shared" si="13"/>
        <v>0</v>
      </c>
      <c r="M92" s="4">
        <f t="shared" si="14"/>
        <v>0</v>
      </c>
      <c r="N92" s="4">
        <f t="shared" si="15"/>
        <v>0</v>
      </c>
      <c r="O92" s="4">
        <f t="shared" si="16"/>
        <v>0</v>
      </c>
    </row>
    <row r="93" spans="2:15" x14ac:dyDescent="0.3">
      <c r="B93">
        <v>84</v>
      </c>
      <c r="C93" s="6"/>
      <c r="D93" s="6"/>
      <c r="E93" s="6"/>
      <c r="F93" s="6"/>
      <c r="G93" s="6"/>
      <c r="H93" s="23">
        <f t="shared" si="11"/>
        <v>500000</v>
      </c>
      <c r="J93">
        <v>83</v>
      </c>
      <c r="K93" s="4">
        <f t="shared" si="12"/>
        <v>0</v>
      </c>
      <c r="L93" s="4">
        <f t="shared" si="13"/>
        <v>0</v>
      </c>
      <c r="M93" s="4">
        <f t="shared" si="14"/>
        <v>0</v>
      </c>
      <c r="N93" s="4">
        <f t="shared" si="15"/>
        <v>0</v>
      </c>
      <c r="O93" s="4">
        <f t="shared" si="16"/>
        <v>0</v>
      </c>
    </row>
    <row r="94" spans="2:15" x14ac:dyDescent="0.3">
      <c r="B94">
        <v>85</v>
      </c>
      <c r="C94" s="6"/>
      <c r="D94" s="6"/>
      <c r="E94" s="6"/>
      <c r="F94" s="6"/>
      <c r="G94" s="6"/>
      <c r="H94" s="23">
        <f t="shared" si="11"/>
        <v>500000</v>
      </c>
      <c r="J94">
        <v>84</v>
      </c>
      <c r="K94" s="4">
        <f t="shared" si="12"/>
        <v>0</v>
      </c>
      <c r="L94" s="4">
        <f t="shared" si="13"/>
        <v>0</v>
      </c>
      <c r="M94" s="4">
        <f t="shared" si="14"/>
        <v>0</v>
      </c>
      <c r="N94" s="4">
        <f t="shared" si="15"/>
        <v>0</v>
      </c>
      <c r="O94" s="4">
        <f t="shared" si="16"/>
        <v>0</v>
      </c>
    </row>
    <row r="95" spans="2:15" x14ac:dyDescent="0.3">
      <c r="B95">
        <v>86</v>
      </c>
      <c r="C95" s="6"/>
      <c r="D95" s="6"/>
      <c r="E95" s="6"/>
      <c r="F95" s="6"/>
      <c r="G95" s="6"/>
      <c r="H95" s="23">
        <f t="shared" si="11"/>
        <v>500000</v>
      </c>
      <c r="J95">
        <v>85</v>
      </c>
      <c r="K95" s="4">
        <f t="shared" si="12"/>
        <v>0</v>
      </c>
      <c r="L95" s="4">
        <f t="shared" si="13"/>
        <v>0</v>
      </c>
      <c r="M95" s="4">
        <f t="shared" si="14"/>
        <v>0</v>
      </c>
      <c r="N95" s="4">
        <f t="shared" si="15"/>
        <v>0</v>
      </c>
      <c r="O95" s="4">
        <f t="shared" si="16"/>
        <v>0</v>
      </c>
    </row>
    <row r="96" spans="2:15" x14ac:dyDescent="0.3">
      <c r="B96">
        <v>87</v>
      </c>
      <c r="C96" s="6"/>
      <c r="D96" s="6"/>
      <c r="E96" s="6"/>
      <c r="F96" s="6"/>
      <c r="G96" s="6"/>
      <c r="H96" s="23">
        <f t="shared" si="11"/>
        <v>500000</v>
      </c>
      <c r="J96">
        <v>86</v>
      </c>
      <c r="K96" s="4">
        <f t="shared" si="12"/>
        <v>0</v>
      </c>
      <c r="L96" s="4">
        <f t="shared" si="13"/>
        <v>0</v>
      </c>
      <c r="M96" s="4">
        <f t="shared" si="14"/>
        <v>0</v>
      </c>
      <c r="N96" s="4">
        <f t="shared" si="15"/>
        <v>0</v>
      </c>
      <c r="O96" s="4">
        <f t="shared" si="16"/>
        <v>0</v>
      </c>
    </row>
    <row r="97" spans="2:15" x14ac:dyDescent="0.3">
      <c r="B97">
        <v>88</v>
      </c>
      <c r="C97" s="6"/>
      <c r="D97" s="6"/>
      <c r="E97" s="6"/>
      <c r="F97" s="6"/>
      <c r="G97" s="6"/>
      <c r="H97" s="23">
        <f t="shared" si="11"/>
        <v>500000</v>
      </c>
      <c r="J97">
        <v>87</v>
      </c>
      <c r="K97" s="4">
        <f t="shared" si="12"/>
        <v>0</v>
      </c>
      <c r="L97" s="4">
        <f t="shared" si="13"/>
        <v>0</v>
      </c>
      <c r="M97" s="4">
        <f t="shared" si="14"/>
        <v>0</v>
      </c>
      <c r="N97" s="4">
        <f t="shared" si="15"/>
        <v>0</v>
      </c>
      <c r="O97" s="4">
        <f t="shared" si="16"/>
        <v>0</v>
      </c>
    </row>
    <row r="98" spans="2:15" x14ac:dyDescent="0.3">
      <c r="B98">
        <v>89</v>
      </c>
      <c r="C98" s="6"/>
      <c r="D98" s="6"/>
      <c r="E98" s="6"/>
      <c r="F98" s="6"/>
      <c r="G98" s="6"/>
      <c r="H98" s="23">
        <f t="shared" si="11"/>
        <v>500000</v>
      </c>
      <c r="J98">
        <v>88</v>
      </c>
      <c r="K98" s="4">
        <f t="shared" si="12"/>
        <v>0</v>
      </c>
      <c r="L98" s="4">
        <f t="shared" si="13"/>
        <v>0</v>
      </c>
      <c r="M98" s="4">
        <f t="shared" si="14"/>
        <v>0</v>
      </c>
      <c r="N98" s="4">
        <f t="shared" si="15"/>
        <v>0</v>
      </c>
      <c r="O98" s="4">
        <f t="shared" si="16"/>
        <v>0</v>
      </c>
    </row>
    <row r="99" spans="2:15" x14ac:dyDescent="0.3">
      <c r="B99">
        <v>90</v>
      </c>
      <c r="C99" s="6"/>
      <c r="D99" s="6"/>
      <c r="E99" s="6"/>
      <c r="F99" s="6"/>
      <c r="G99" s="6"/>
      <c r="H99" s="23">
        <f t="shared" si="11"/>
        <v>500000</v>
      </c>
      <c r="J99">
        <v>89</v>
      </c>
      <c r="K99" s="4">
        <f t="shared" si="12"/>
        <v>0</v>
      </c>
      <c r="L99" s="4">
        <f t="shared" si="13"/>
        <v>0</v>
      </c>
      <c r="M99" s="4">
        <f t="shared" si="14"/>
        <v>0</v>
      </c>
      <c r="N99" s="4">
        <f t="shared" si="15"/>
        <v>0</v>
      </c>
      <c r="O99" s="4">
        <f t="shared" si="16"/>
        <v>0</v>
      </c>
    </row>
    <row r="100" spans="2:15" x14ac:dyDescent="0.3">
      <c r="B100">
        <v>91</v>
      </c>
      <c r="C100" s="6"/>
      <c r="D100" s="6"/>
      <c r="E100" s="6"/>
      <c r="F100" s="6"/>
      <c r="G100" s="6"/>
      <c r="H100" s="23">
        <f t="shared" si="11"/>
        <v>500000</v>
      </c>
      <c r="J100">
        <v>90</v>
      </c>
      <c r="K100" s="4">
        <f t="shared" si="12"/>
        <v>0</v>
      </c>
      <c r="L100" s="4">
        <f t="shared" si="13"/>
        <v>0</v>
      </c>
      <c r="M100" s="4">
        <f t="shared" si="14"/>
        <v>0</v>
      </c>
      <c r="N100" s="4">
        <f t="shared" si="15"/>
        <v>0</v>
      </c>
      <c r="O100" s="4">
        <f t="shared" si="16"/>
        <v>0</v>
      </c>
    </row>
    <row r="101" spans="2:15" x14ac:dyDescent="0.3">
      <c r="B101">
        <v>92</v>
      </c>
      <c r="C101" s="6"/>
      <c r="D101" s="6"/>
      <c r="E101" s="6"/>
      <c r="F101" s="6"/>
      <c r="G101" s="6"/>
      <c r="H101" s="23">
        <f t="shared" si="11"/>
        <v>500000</v>
      </c>
      <c r="J101">
        <v>91</v>
      </c>
      <c r="K101" s="4">
        <f t="shared" si="12"/>
        <v>0</v>
      </c>
      <c r="L101" s="4">
        <f t="shared" si="13"/>
        <v>0</v>
      </c>
      <c r="M101" s="4">
        <f t="shared" si="14"/>
        <v>0</v>
      </c>
      <c r="N101" s="4">
        <f t="shared" si="15"/>
        <v>0</v>
      </c>
      <c r="O101" s="4">
        <f t="shared" si="16"/>
        <v>0</v>
      </c>
    </row>
    <row r="102" spans="2:15" x14ac:dyDescent="0.3">
      <c r="B102">
        <v>93</v>
      </c>
      <c r="C102" s="6"/>
      <c r="D102" s="6"/>
      <c r="E102" s="6"/>
      <c r="F102" s="6"/>
      <c r="G102" s="6"/>
      <c r="H102" s="23">
        <f t="shared" si="11"/>
        <v>500000</v>
      </c>
      <c r="J102">
        <v>92</v>
      </c>
      <c r="K102" s="4">
        <f t="shared" si="12"/>
        <v>0</v>
      </c>
      <c r="L102" s="4">
        <f t="shared" si="13"/>
        <v>0</v>
      </c>
      <c r="M102" s="4">
        <f t="shared" si="14"/>
        <v>0</v>
      </c>
      <c r="N102" s="4">
        <f t="shared" si="15"/>
        <v>0</v>
      </c>
      <c r="O102" s="4">
        <f t="shared" si="16"/>
        <v>0</v>
      </c>
    </row>
    <row r="103" spans="2:15" x14ac:dyDescent="0.3">
      <c r="B103">
        <v>94</v>
      </c>
      <c r="C103" s="6"/>
      <c r="D103" s="6"/>
      <c r="E103" s="6"/>
      <c r="F103" s="6"/>
      <c r="G103" s="6"/>
      <c r="H103" s="23">
        <f t="shared" si="11"/>
        <v>500000</v>
      </c>
      <c r="J103">
        <v>93</v>
      </c>
      <c r="K103" s="4">
        <f t="shared" si="12"/>
        <v>0</v>
      </c>
      <c r="L103" s="4">
        <f t="shared" si="13"/>
        <v>0</v>
      </c>
      <c r="M103" s="4">
        <f t="shared" si="14"/>
        <v>0</v>
      </c>
      <c r="N103" s="4">
        <f t="shared" si="15"/>
        <v>0</v>
      </c>
      <c r="O103" s="4">
        <f t="shared" si="16"/>
        <v>0</v>
      </c>
    </row>
    <row r="104" spans="2:15" x14ac:dyDescent="0.3">
      <c r="B104">
        <v>95</v>
      </c>
      <c r="C104" s="6"/>
      <c r="D104" s="6"/>
      <c r="E104" s="6"/>
      <c r="F104" s="6"/>
      <c r="G104" s="6"/>
      <c r="H104" s="23">
        <f t="shared" si="11"/>
        <v>500000</v>
      </c>
      <c r="J104">
        <v>94</v>
      </c>
      <c r="K104" s="4">
        <f t="shared" si="12"/>
        <v>0</v>
      </c>
      <c r="L104" s="4">
        <f t="shared" si="13"/>
        <v>0</v>
      </c>
      <c r="M104" s="4">
        <f t="shared" si="14"/>
        <v>0</v>
      </c>
      <c r="N104" s="4">
        <f t="shared" si="15"/>
        <v>0</v>
      </c>
      <c r="O104" s="4">
        <f t="shared" si="16"/>
        <v>0</v>
      </c>
    </row>
    <row r="105" spans="2:15" x14ac:dyDescent="0.3">
      <c r="B105">
        <v>96</v>
      </c>
      <c r="C105" s="6"/>
      <c r="D105" s="6"/>
      <c r="E105" s="6"/>
      <c r="F105" s="6"/>
      <c r="G105" s="6"/>
      <c r="H105" s="23">
        <f t="shared" si="11"/>
        <v>500000</v>
      </c>
      <c r="J105">
        <v>95</v>
      </c>
      <c r="K105" s="4">
        <f t="shared" si="12"/>
        <v>0</v>
      </c>
      <c r="L105" s="4">
        <f t="shared" si="13"/>
        <v>0</v>
      </c>
      <c r="M105" s="4">
        <f t="shared" si="14"/>
        <v>0</v>
      </c>
      <c r="N105" s="4">
        <f t="shared" si="15"/>
        <v>0</v>
      </c>
      <c r="O105" s="4">
        <f t="shared" si="16"/>
        <v>0</v>
      </c>
    </row>
    <row r="106" spans="2:15" x14ac:dyDescent="0.3">
      <c r="B106">
        <v>97</v>
      </c>
      <c r="C106" s="6"/>
      <c r="D106" s="6"/>
      <c r="E106" s="6"/>
      <c r="F106" s="6"/>
      <c r="G106" s="6"/>
      <c r="H106" s="23">
        <f t="shared" si="11"/>
        <v>500000</v>
      </c>
      <c r="J106">
        <v>96</v>
      </c>
      <c r="K106" s="4">
        <f t="shared" si="12"/>
        <v>0</v>
      </c>
      <c r="L106" s="4">
        <f t="shared" si="13"/>
        <v>0</v>
      </c>
      <c r="M106" s="4">
        <f t="shared" si="14"/>
        <v>0</v>
      </c>
      <c r="N106" s="4">
        <f t="shared" si="15"/>
        <v>0</v>
      </c>
      <c r="O106" s="4">
        <f t="shared" si="16"/>
        <v>0</v>
      </c>
    </row>
    <row r="107" spans="2:15" x14ac:dyDescent="0.3">
      <c r="B107">
        <v>98</v>
      </c>
      <c r="C107" s="6"/>
      <c r="D107" s="6"/>
      <c r="E107" s="6"/>
      <c r="F107" s="6"/>
      <c r="G107" s="6"/>
      <c r="H107" s="23">
        <f t="shared" si="11"/>
        <v>500000</v>
      </c>
      <c r="J107">
        <v>97</v>
      </c>
      <c r="K107" s="4">
        <f t="shared" si="12"/>
        <v>0</v>
      </c>
      <c r="L107" s="4">
        <f t="shared" si="13"/>
        <v>0</v>
      </c>
      <c r="M107" s="4">
        <f t="shared" si="14"/>
        <v>0</v>
      </c>
      <c r="N107" s="4">
        <f t="shared" si="15"/>
        <v>0</v>
      </c>
      <c r="O107" s="4">
        <f t="shared" si="16"/>
        <v>0</v>
      </c>
    </row>
    <row r="108" spans="2:15" x14ac:dyDescent="0.3">
      <c r="B108">
        <v>99</v>
      </c>
      <c r="C108" s="6"/>
      <c r="D108" s="6"/>
      <c r="E108" s="6"/>
      <c r="F108" s="6"/>
      <c r="G108" s="6"/>
      <c r="H108" s="23">
        <f t="shared" si="11"/>
        <v>500000</v>
      </c>
      <c r="J108">
        <v>98</v>
      </c>
      <c r="K108" s="4">
        <f t="shared" si="12"/>
        <v>0</v>
      </c>
      <c r="L108" s="4">
        <f t="shared" si="13"/>
        <v>0</v>
      </c>
      <c r="M108" s="4">
        <f t="shared" si="14"/>
        <v>0</v>
      </c>
      <c r="N108" s="4">
        <f t="shared" si="15"/>
        <v>0</v>
      </c>
      <c r="O108" s="4">
        <f t="shared" si="16"/>
        <v>0</v>
      </c>
    </row>
    <row r="109" spans="2:15" x14ac:dyDescent="0.3">
      <c r="B109">
        <v>100</v>
      </c>
      <c r="C109" s="6"/>
      <c r="D109" s="6"/>
      <c r="E109" s="6"/>
      <c r="F109" s="6"/>
      <c r="G109" s="6"/>
      <c r="H109" s="23">
        <f t="shared" si="11"/>
        <v>500000</v>
      </c>
      <c r="J109">
        <v>99</v>
      </c>
      <c r="K109" s="4">
        <f t="shared" si="12"/>
        <v>0</v>
      </c>
      <c r="L109" s="4">
        <f t="shared" si="13"/>
        <v>0</v>
      </c>
      <c r="M109" s="4">
        <f t="shared" si="14"/>
        <v>0</v>
      </c>
      <c r="N109" s="4">
        <f t="shared" si="15"/>
        <v>0</v>
      </c>
      <c r="O109" s="4">
        <f t="shared" si="16"/>
        <v>0</v>
      </c>
    </row>
    <row r="110" spans="2:15" x14ac:dyDescent="0.3">
      <c r="B110">
        <v>101</v>
      </c>
      <c r="C110" s="6"/>
      <c r="D110" s="6"/>
      <c r="E110" s="6"/>
      <c r="F110" s="6"/>
      <c r="G110" s="6"/>
      <c r="H110" s="23">
        <f t="shared" si="11"/>
        <v>500000</v>
      </c>
      <c r="J110">
        <v>100</v>
      </c>
      <c r="K110" s="4">
        <f t="shared" si="12"/>
        <v>0</v>
      </c>
      <c r="L110" s="4">
        <f t="shared" si="13"/>
        <v>0</v>
      </c>
      <c r="M110" s="4">
        <f t="shared" si="14"/>
        <v>0</v>
      </c>
      <c r="N110" s="4">
        <f t="shared" si="15"/>
        <v>0</v>
      </c>
      <c r="O110" s="4">
        <f t="shared" si="16"/>
        <v>0</v>
      </c>
    </row>
    <row r="111" spans="2:15" x14ac:dyDescent="0.3">
      <c r="B111">
        <v>102</v>
      </c>
      <c r="C111" s="6"/>
      <c r="D111" s="6"/>
      <c r="E111" s="6"/>
      <c r="F111" s="6"/>
      <c r="G111" s="6"/>
      <c r="H111" s="23">
        <f t="shared" si="11"/>
        <v>500000</v>
      </c>
      <c r="J111">
        <v>101</v>
      </c>
      <c r="K111" s="4">
        <f t="shared" si="12"/>
        <v>0</v>
      </c>
      <c r="L111" s="4">
        <f t="shared" si="13"/>
        <v>0</v>
      </c>
      <c r="M111" s="4">
        <f t="shared" si="14"/>
        <v>0</v>
      </c>
      <c r="N111" s="4">
        <f t="shared" si="15"/>
        <v>0</v>
      </c>
      <c r="O111" s="4">
        <f t="shared" si="16"/>
        <v>0</v>
      </c>
    </row>
    <row r="112" spans="2:15" x14ac:dyDescent="0.3">
      <c r="B112">
        <v>103</v>
      </c>
      <c r="C112" s="6"/>
      <c r="D112" s="6"/>
      <c r="E112" s="6"/>
      <c r="F112" s="6"/>
      <c r="G112" s="6"/>
      <c r="H112" s="23">
        <f t="shared" si="11"/>
        <v>500000</v>
      </c>
      <c r="J112">
        <v>102</v>
      </c>
      <c r="K112" s="4">
        <f t="shared" si="12"/>
        <v>0</v>
      </c>
      <c r="L112" s="4">
        <f t="shared" si="13"/>
        <v>0</v>
      </c>
      <c r="M112" s="4">
        <f t="shared" si="14"/>
        <v>0</v>
      </c>
      <c r="N112" s="4">
        <f t="shared" si="15"/>
        <v>0</v>
      </c>
      <c r="O112" s="4">
        <f t="shared" si="16"/>
        <v>0</v>
      </c>
    </row>
    <row r="113" spans="2:15" x14ac:dyDescent="0.3">
      <c r="B113">
        <v>104</v>
      </c>
      <c r="C113" s="6"/>
      <c r="D113" s="6"/>
      <c r="E113" s="6"/>
      <c r="F113" s="6"/>
      <c r="G113" s="6"/>
      <c r="H113" s="23">
        <f t="shared" si="11"/>
        <v>500000</v>
      </c>
      <c r="J113">
        <v>103</v>
      </c>
      <c r="K113" s="4">
        <f t="shared" si="12"/>
        <v>0</v>
      </c>
      <c r="L113" s="4">
        <f t="shared" si="13"/>
        <v>0</v>
      </c>
      <c r="M113" s="4">
        <f t="shared" si="14"/>
        <v>0</v>
      </c>
      <c r="N113" s="4">
        <f t="shared" si="15"/>
        <v>0</v>
      </c>
      <c r="O113" s="4">
        <f t="shared" si="16"/>
        <v>0</v>
      </c>
    </row>
    <row r="114" spans="2:15" x14ac:dyDescent="0.3">
      <c r="B114">
        <v>105</v>
      </c>
      <c r="C114" s="6"/>
      <c r="D114" s="6"/>
      <c r="E114" s="6"/>
      <c r="F114" s="6"/>
      <c r="G114" s="6"/>
      <c r="H114" s="23">
        <f t="shared" si="11"/>
        <v>500000</v>
      </c>
      <c r="J114">
        <v>104</v>
      </c>
      <c r="K114" s="4">
        <f t="shared" si="12"/>
        <v>0</v>
      </c>
      <c r="L114" s="4">
        <f t="shared" si="13"/>
        <v>0</v>
      </c>
      <c r="M114" s="4">
        <f t="shared" si="14"/>
        <v>0</v>
      </c>
      <c r="N114" s="4">
        <f t="shared" si="15"/>
        <v>0</v>
      </c>
      <c r="O114" s="4">
        <f t="shared" si="16"/>
        <v>0</v>
      </c>
    </row>
    <row r="115" spans="2:15" x14ac:dyDescent="0.3">
      <c r="B115">
        <v>106</v>
      </c>
      <c r="C115" s="6"/>
      <c r="D115" s="6"/>
      <c r="E115" s="6"/>
      <c r="F115" s="6"/>
      <c r="G115" s="6"/>
      <c r="H115" s="23">
        <f t="shared" si="11"/>
        <v>500000</v>
      </c>
      <c r="J115">
        <v>105</v>
      </c>
      <c r="K115" s="4">
        <f t="shared" si="12"/>
        <v>0</v>
      </c>
      <c r="L115" s="4">
        <f t="shared" si="13"/>
        <v>0</v>
      </c>
      <c r="M115" s="4">
        <f t="shared" si="14"/>
        <v>0</v>
      </c>
      <c r="N115" s="4">
        <f t="shared" si="15"/>
        <v>0</v>
      </c>
      <c r="O115" s="4">
        <f t="shared" si="16"/>
        <v>0</v>
      </c>
    </row>
    <row r="116" spans="2:15" x14ac:dyDescent="0.3">
      <c r="B116">
        <v>107</v>
      </c>
      <c r="C116" s="6"/>
      <c r="D116" s="6"/>
      <c r="E116" s="6"/>
      <c r="F116" s="6"/>
      <c r="G116" s="6"/>
      <c r="H116" s="23">
        <f t="shared" si="11"/>
        <v>500000</v>
      </c>
      <c r="J116">
        <v>106</v>
      </c>
      <c r="K116" s="4">
        <f t="shared" si="12"/>
        <v>0</v>
      </c>
      <c r="L116" s="4">
        <f t="shared" si="13"/>
        <v>0</v>
      </c>
      <c r="M116" s="4">
        <f t="shared" si="14"/>
        <v>0</v>
      </c>
      <c r="N116" s="4">
        <f t="shared" si="15"/>
        <v>0</v>
      </c>
      <c r="O116" s="4">
        <f t="shared" si="16"/>
        <v>0</v>
      </c>
    </row>
    <row r="117" spans="2:15" x14ac:dyDescent="0.3">
      <c r="B117">
        <v>108</v>
      </c>
      <c r="C117" s="6"/>
      <c r="D117" s="6"/>
      <c r="E117" s="6"/>
      <c r="F117" s="6"/>
      <c r="G117" s="6"/>
      <c r="H117" s="23">
        <f t="shared" si="11"/>
        <v>500000</v>
      </c>
      <c r="J117">
        <v>107</v>
      </c>
      <c r="K117" s="4">
        <f t="shared" si="12"/>
        <v>0</v>
      </c>
      <c r="L117" s="4">
        <f t="shared" si="13"/>
        <v>0</v>
      </c>
      <c r="M117" s="4">
        <f t="shared" si="14"/>
        <v>0</v>
      </c>
      <c r="N117" s="4">
        <f t="shared" si="15"/>
        <v>0</v>
      </c>
      <c r="O117" s="4">
        <f t="shared" si="16"/>
        <v>0</v>
      </c>
    </row>
    <row r="118" spans="2:15" x14ac:dyDescent="0.3">
      <c r="B118">
        <v>109</v>
      </c>
      <c r="C118" s="6"/>
      <c r="D118" s="6"/>
      <c r="E118" s="6"/>
      <c r="F118" s="6"/>
      <c r="G118" s="6"/>
      <c r="H118" s="23">
        <f t="shared" si="11"/>
        <v>500000</v>
      </c>
      <c r="J118">
        <v>108</v>
      </c>
      <c r="K118" s="4">
        <f t="shared" si="12"/>
        <v>0</v>
      </c>
      <c r="L118" s="4">
        <f t="shared" si="13"/>
        <v>0</v>
      </c>
      <c r="M118" s="4">
        <f t="shared" si="14"/>
        <v>0</v>
      </c>
      <c r="N118" s="4">
        <f t="shared" si="15"/>
        <v>0</v>
      </c>
      <c r="O118" s="4">
        <f t="shared" si="16"/>
        <v>0</v>
      </c>
    </row>
    <row r="119" spans="2:15" x14ac:dyDescent="0.3">
      <c r="B119">
        <v>110</v>
      </c>
      <c r="C119" s="6"/>
      <c r="D119" s="6"/>
      <c r="E119" s="6"/>
      <c r="F119" s="6"/>
      <c r="G119" s="6"/>
      <c r="H119" s="23">
        <f t="shared" si="11"/>
        <v>500000</v>
      </c>
      <c r="J119">
        <v>109</v>
      </c>
      <c r="K119" s="4">
        <f t="shared" si="12"/>
        <v>0</v>
      </c>
      <c r="L119" s="4">
        <f t="shared" si="13"/>
        <v>0</v>
      </c>
      <c r="M119" s="4">
        <f t="shared" si="14"/>
        <v>0</v>
      </c>
      <c r="N119" s="4">
        <f t="shared" si="15"/>
        <v>0</v>
      </c>
      <c r="O119" s="4">
        <f t="shared" si="16"/>
        <v>0</v>
      </c>
    </row>
    <row r="120" spans="2:15" x14ac:dyDescent="0.3">
      <c r="B120">
        <v>111</v>
      </c>
      <c r="C120" s="6"/>
      <c r="D120" s="6"/>
      <c r="E120" s="6"/>
      <c r="F120" s="6"/>
      <c r="G120" s="6"/>
      <c r="H120" s="23">
        <f t="shared" si="11"/>
        <v>500000</v>
      </c>
      <c r="J120">
        <v>110</v>
      </c>
      <c r="K120" s="4">
        <f t="shared" si="12"/>
        <v>0</v>
      </c>
      <c r="L120" s="4">
        <f t="shared" si="13"/>
        <v>0</v>
      </c>
      <c r="M120" s="4">
        <f t="shared" si="14"/>
        <v>0</v>
      </c>
      <c r="N120" s="4">
        <f t="shared" si="15"/>
        <v>0</v>
      </c>
      <c r="O120" s="4">
        <f t="shared" si="16"/>
        <v>0</v>
      </c>
    </row>
    <row r="121" spans="2:15" x14ac:dyDescent="0.3">
      <c r="B121">
        <v>112</v>
      </c>
      <c r="C121" s="6"/>
      <c r="D121" s="6"/>
      <c r="E121" s="6"/>
      <c r="F121" s="6"/>
      <c r="G121" s="6"/>
      <c r="H121" s="23">
        <f t="shared" si="11"/>
        <v>500000</v>
      </c>
      <c r="J121">
        <v>111</v>
      </c>
      <c r="K121" s="4">
        <f t="shared" si="12"/>
        <v>0</v>
      </c>
      <c r="L121" s="4">
        <f t="shared" si="13"/>
        <v>0</v>
      </c>
      <c r="M121" s="4">
        <f t="shared" si="14"/>
        <v>0</v>
      </c>
      <c r="N121" s="4">
        <f t="shared" si="15"/>
        <v>0</v>
      </c>
      <c r="O121" s="4">
        <f t="shared" si="16"/>
        <v>0</v>
      </c>
    </row>
    <row r="122" spans="2:15" x14ac:dyDescent="0.3">
      <c r="B122">
        <v>113</v>
      </c>
      <c r="C122" s="6"/>
      <c r="D122" s="6"/>
      <c r="E122" s="6"/>
      <c r="F122" s="6"/>
      <c r="G122" s="6"/>
      <c r="H122" s="23">
        <f t="shared" si="11"/>
        <v>500000</v>
      </c>
      <c r="J122">
        <v>112</v>
      </c>
      <c r="K122" s="4">
        <f t="shared" si="12"/>
        <v>0</v>
      </c>
      <c r="L122" s="4">
        <f t="shared" si="13"/>
        <v>0</v>
      </c>
      <c r="M122" s="4">
        <f t="shared" si="14"/>
        <v>0</v>
      </c>
      <c r="N122" s="4">
        <f t="shared" si="15"/>
        <v>0</v>
      </c>
      <c r="O122" s="4">
        <f t="shared" si="16"/>
        <v>0</v>
      </c>
    </row>
    <row r="123" spans="2:15" x14ac:dyDescent="0.3">
      <c r="B123">
        <v>114</v>
      </c>
      <c r="C123" s="6"/>
      <c r="D123" s="6"/>
      <c r="E123" s="6"/>
      <c r="F123" s="6"/>
      <c r="G123" s="6"/>
      <c r="H123" s="23">
        <f t="shared" si="11"/>
        <v>500000</v>
      </c>
      <c r="J123">
        <v>113</v>
      </c>
      <c r="K123" s="4">
        <f t="shared" si="12"/>
        <v>0</v>
      </c>
      <c r="L123" s="4">
        <f t="shared" si="13"/>
        <v>0</v>
      </c>
      <c r="M123" s="4">
        <f t="shared" si="14"/>
        <v>0</v>
      </c>
      <c r="N123" s="4">
        <f t="shared" si="15"/>
        <v>0</v>
      </c>
      <c r="O123" s="4">
        <f t="shared" si="16"/>
        <v>0</v>
      </c>
    </row>
    <row r="124" spans="2:15" x14ac:dyDescent="0.3">
      <c r="B124">
        <v>115</v>
      </c>
      <c r="C124" s="6"/>
      <c r="D124" s="6"/>
      <c r="E124" s="6"/>
      <c r="F124" s="6"/>
      <c r="G124" s="6"/>
      <c r="H124" s="23">
        <f t="shared" si="11"/>
        <v>500000</v>
      </c>
      <c r="J124">
        <v>114</v>
      </c>
      <c r="K124" s="4">
        <f t="shared" si="12"/>
        <v>0</v>
      </c>
      <c r="L124" s="4">
        <f t="shared" si="13"/>
        <v>0</v>
      </c>
      <c r="M124" s="4">
        <f t="shared" si="14"/>
        <v>0</v>
      </c>
      <c r="N124" s="4">
        <f t="shared" si="15"/>
        <v>0</v>
      </c>
      <c r="O124" s="4">
        <f t="shared" si="16"/>
        <v>0</v>
      </c>
    </row>
    <row r="125" spans="2:15" x14ac:dyDescent="0.3">
      <c r="B125">
        <v>116</v>
      </c>
      <c r="C125" s="6"/>
      <c r="D125" s="6"/>
      <c r="E125" s="6"/>
      <c r="F125" s="6"/>
      <c r="G125" s="6"/>
      <c r="H125" s="23">
        <f t="shared" si="11"/>
        <v>500000</v>
      </c>
      <c r="J125">
        <v>115</v>
      </c>
      <c r="K125" s="4">
        <f t="shared" si="12"/>
        <v>0</v>
      </c>
      <c r="L125" s="4">
        <f t="shared" si="13"/>
        <v>0</v>
      </c>
      <c r="M125" s="4">
        <f t="shared" si="14"/>
        <v>0</v>
      </c>
      <c r="N125" s="4">
        <f t="shared" si="15"/>
        <v>0</v>
      </c>
      <c r="O125" s="4">
        <f t="shared" si="16"/>
        <v>0</v>
      </c>
    </row>
    <row r="126" spans="2:15" x14ac:dyDescent="0.3">
      <c r="B126">
        <v>117</v>
      </c>
      <c r="C126" s="6"/>
      <c r="D126" s="6"/>
      <c r="E126" s="6"/>
      <c r="F126" s="6"/>
      <c r="G126" s="6"/>
      <c r="H126" s="23">
        <f t="shared" si="11"/>
        <v>500000</v>
      </c>
      <c r="J126">
        <v>116</v>
      </c>
      <c r="K126" s="4">
        <f t="shared" si="12"/>
        <v>0</v>
      </c>
      <c r="L126" s="4">
        <f t="shared" si="13"/>
        <v>0</v>
      </c>
      <c r="M126" s="4">
        <f t="shared" si="14"/>
        <v>0</v>
      </c>
      <c r="N126" s="4">
        <f t="shared" si="15"/>
        <v>0</v>
      </c>
      <c r="O126" s="4">
        <f t="shared" si="16"/>
        <v>0</v>
      </c>
    </row>
    <row r="127" spans="2:15" x14ac:dyDescent="0.3">
      <c r="B127">
        <v>118</v>
      </c>
      <c r="C127" s="6"/>
      <c r="D127" s="6"/>
      <c r="E127" s="6"/>
      <c r="F127" s="6"/>
      <c r="G127" s="6"/>
      <c r="H127" s="23">
        <f t="shared" si="11"/>
        <v>500000</v>
      </c>
      <c r="J127">
        <v>117</v>
      </c>
      <c r="K127" s="4">
        <f t="shared" si="12"/>
        <v>0</v>
      </c>
      <c r="L127" s="4">
        <f t="shared" si="13"/>
        <v>0</v>
      </c>
      <c r="M127" s="4">
        <f t="shared" si="14"/>
        <v>0</v>
      </c>
      <c r="N127" s="4">
        <f t="shared" si="15"/>
        <v>0</v>
      </c>
      <c r="O127" s="4">
        <f t="shared" si="16"/>
        <v>0</v>
      </c>
    </row>
    <row r="128" spans="2:15" x14ac:dyDescent="0.3">
      <c r="B128">
        <v>119</v>
      </c>
      <c r="C128" s="6"/>
      <c r="D128" s="6"/>
      <c r="E128" s="6"/>
      <c r="F128" s="6"/>
      <c r="G128" s="6"/>
      <c r="H128" s="23">
        <f t="shared" si="11"/>
        <v>500000</v>
      </c>
      <c r="J128">
        <v>118</v>
      </c>
      <c r="K128" s="4">
        <f t="shared" si="12"/>
        <v>0</v>
      </c>
      <c r="L128" s="4">
        <f t="shared" si="13"/>
        <v>0</v>
      </c>
      <c r="M128" s="4">
        <f t="shared" si="14"/>
        <v>0</v>
      </c>
      <c r="N128" s="4">
        <f t="shared" si="15"/>
        <v>0</v>
      </c>
      <c r="O128" s="4">
        <f t="shared" si="16"/>
        <v>0</v>
      </c>
    </row>
    <row r="129" spans="2:15" x14ac:dyDescent="0.3">
      <c r="B129">
        <v>120</v>
      </c>
      <c r="C129" s="6"/>
      <c r="D129" s="6"/>
      <c r="E129" s="6"/>
      <c r="F129" s="6"/>
      <c r="G129" s="6"/>
      <c r="H129" s="23">
        <f t="shared" si="11"/>
        <v>500000</v>
      </c>
      <c r="J129">
        <v>119</v>
      </c>
      <c r="K129" s="4">
        <f t="shared" si="12"/>
        <v>0</v>
      </c>
      <c r="L129" s="4">
        <f t="shared" si="13"/>
        <v>0</v>
      </c>
      <c r="M129" s="4">
        <f t="shared" si="14"/>
        <v>0</v>
      </c>
      <c r="N129" s="4">
        <f t="shared" si="15"/>
        <v>0</v>
      </c>
      <c r="O129" s="4">
        <f t="shared" si="16"/>
        <v>0</v>
      </c>
    </row>
    <row r="130" spans="2:15" x14ac:dyDescent="0.3">
      <c r="B130">
        <v>121</v>
      </c>
      <c r="C130" s="6"/>
      <c r="D130" s="6"/>
      <c r="E130" s="6"/>
      <c r="F130" s="6"/>
      <c r="G130" s="6"/>
      <c r="H130" s="23">
        <f t="shared" si="11"/>
        <v>500000</v>
      </c>
      <c r="J130">
        <v>120</v>
      </c>
      <c r="K130" s="4">
        <f t="shared" si="12"/>
        <v>0</v>
      </c>
      <c r="L130" s="4">
        <f t="shared" si="13"/>
        <v>0</v>
      </c>
      <c r="M130" s="4">
        <f t="shared" si="14"/>
        <v>0</v>
      </c>
      <c r="N130" s="4">
        <f t="shared" si="15"/>
        <v>0</v>
      </c>
      <c r="O130" s="4">
        <f t="shared" si="16"/>
        <v>0</v>
      </c>
    </row>
    <row r="131" spans="2:15" x14ac:dyDescent="0.3">
      <c r="B131">
        <v>122</v>
      </c>
      <c r="C131" s="6"/>
      <c r="D131" s="6"/>
      <c r="E131" s="6"/>
      <c r="F131" s="6"/>
      <c r="G131" s="6"/>
      <c r="H131" s="23">
        <f t="shared" si="11"/>
        <v>500000</v>
      </c>
      <c r="J131">
        <v>121</v>
      </c>
      <c r="K131" s="4">
        <f t="shared" si="12"/>
        <v>0</v>
      </c>
      <c r="L131" s="4">
        <f t="shared" si="13"/>
        <v>0</v>
      </c>
      <c r="M131" s="4">
        <f t="shared" si="14"/>
        <v>0</v>
      </c>
      <c r="N131" s="4">
        <f t="shared" si="15"/>
        <v>0</v>
      </c>
      <c r="O131" s="4">
        <f t="shared" si="16"/>
        <v>0</v>
      </c>
    </row>
    <row r="132" spans="2:15" x14ac:dyDescent="0.3">
      <c r="B132">
        <v>123</v>
      </c>
      <c r="C132" s="6"/>
      <c r="D132" s="6"/>
      <c r="E132" s="6"/>
      <c r="F132" s="6"/>
      <c r="G132" s="6"/>
      <c r="H132" s="23">
        <f t="shared" si="11"/>
        <v>500000</v>
      </c>
      <c r="J132">
        <v>122</v>
      </c>
      <c r="K132" s="4">
        <f t="shared" si="12"/>
        <v>0</v>
      </c>
      <c r="L132" s="4">
        <f t="shared" si="13"/>
        <v>0</v>
      </c>
      <c r="M132" s="4">
        <f t="shared" si="14"/>
        <v>0</v>
      </c>
      <c r="N132" s="4">
        <f t="shared" si="15"/>
        <v>0</v>
      </c>
      <c r="O132" s="4">
        <f t="shared" si="16"/>
        <v>0</v>
      </c>
    </row>
    <row r="133" spans="2:15" x14ac:dyDescent="0.3">
      <c r="B133">
        <v>124</v>
      </c>
      <c r="C133" s="6"/>
      <c r="D133" s="6"/>
      <c r="E133" s="6"/>
      <c r="F133" s="6"/>
      <c r="G133" s="6"/>
      <c r="H133" s="23">
        <f t="shared" si="11"/>
        <v>500000</v>
      </c>
      <c r="J133">
        <v>123</v>
      </c>
      <c r="K133" s="4">
        <f t="shared" si="12"/>
        <v>0</v>
      </c>
      <c r="L133" s="4">
        <f t="shared" si="13"/>
        <v>0</v>
      </c>
      <c r="M133" s="4">
        <f t="shared" si="14"/>
        <v>0</v>
      </c>
      <c r="N133" s="4">
        <f t="shared" si="15"/>
        <v>0</v>
      </c>
      <c r="O133" s="4">
        <f t="shared" si="16"/>
        <v>0</v>
      </c>
    </row>
    <row r="134" spans="2:15" x14ac:dyDescent="0.3">
      <c r="B134">
        <v>125</v>
      </c>
      <c r="C134" s="6"/>
      <c r="D134" s="6"/>
      <c r="E134" s="6"/>
      <c r="F134" s="6"/>
      <c r="G134" s="6"/>
      <c r="H134" s="23">
        <f t="shared" ref="H134:H197" si="17">F134+H133</f>
        <v>500000</v>
      </c>
      <c r="J134">
        <v>124</v>
      </c>
      <c r="K134" s="4">
        <f t="shared" si="12"/>
        <v>0</v>
      </c>
      <c r="L134" s="4">
        <f t="shared" si="13"/>
        <v>0</v>
      </c>
      <c r="M134" s="4">
        <f t="shared" si="14"/>
        <v>0</v>
      </c>
      <c r="N134" s="4">
        <f t="shared" si="15"/>
        <v>0</v>
      </c>
      <c r="O134" s="4">
        <f t="shared" si="16"/>
        <v>0</v>
      </c>
    </row>
    <row r="135" spans="2:15" x14ac:dyDescent="0.3">
      <c r="B135">
        <v>126</v>
      </c>
      <c r="C135" s="6"/>
      <c r="D135" s="6"/>
      <c r="E135" s="6"/>
      <c r="F135" s="6"/>
      <c r="G135" s="6"/>
      <c r="H135" s="23">
        <f t="shared" si="17"/>
        <v>500000</v>
      </c>
      <c r="J135">
        <v>125</v>
      </c>
      <c r="K135" s="4">
        <f t="shared" si="12"/>
        <v>0</v>
      </c>
      <c r="L135" s="4">
        <f t="shared" si="13"/>
        <v>0</v>
      </c>
      <c r="M135" s="4">
        <f t="shared" si="14"/>
        <v>0</v>
      </c>
      <c r="N135" s="4">
        <f t="shared" si="15"/>
        <v>0</v>
      </c>
      <c r="O135" s="4">
        <f t="shared" si="16"/>
        <v>0</v>
      </c>
    </row>
    <row r="136" spans="2:15" x14ac:dyDescent="0.3">
      <c r="B136">
        <v>127</v>
      </c>
      <c r="C136" s="6"/>
      <c r="D136" s="6"/>
      <c r="E136" s="6"/>
      <c r="F136" s="6"/>
      <c r="G136" s="6"/>
      <c r="H136" s="23">
        <f t="shared" si="17"/>
        <v>500000</v>
      </c>
      <c r="J136">
        <v>126</v>
      </c>
      <c r="K136" s="4">
        <f t="shared" si="12"/>
        <v>0</v>
      </c>
      <c r="L136" s="4">
        <f t="shared" si="13"/>
        <v>0</v>
      </c>
      <c r="M136" s="4">
        <f t="shared" si="14"/>
        <v>0</v>
      </c>
      <c r="N136" s="4">
        <f t="shared" si="15"/>
        <v>0</v>
      </c>
      <c r="O136" s="4">
        <f t="shared" si="16"/>
        <v>0</v>
      </c>
    </row>
    <row r="137" spans="2:15" x14ac:dyDescent="0.3">
      <c r="B137">
        <v>128</v>
      </c>
      <c r="C137" s="6"/>
      <c r="D137" s="6"/>
      <c r="E137" s="6"/>
      <c r="F137" s="6"/>
      <c r="G137" s="6"/>
      <c r="H137" s="23">
        <f t="shared" si="17"/>
        <v>500000</v>
      </c>
      <c r="J137">
        <v>127</v>
      </c>
      <c r="K137" s="4">
        <f t="shared" si="12"/>
        <v>0</v>
      </c>
      <c r="L137" s="4">
        <f t="shared" si="13"/>
        <v>0</v>
      </c>
      <c r="M137" s="4">
        <f t="shared" si="14"/>
        <v>0</v>
      </c>
      <c r="N137" s="4">
        <f t="shared" si="15"/>
        <v>0</v>
      </c>
      <c r="O137" s="4">
        <f t="shared" si="16"/>
        <v>0</v>
      </c>
    </row>
    <row r="138" spans="2:15" x14ac:dyDescent="0.3">
      <c r="B138">
        <v>129</v>
      </c>
      <c r="C138" s="6"/>
      <c r="D138" s="6"/>
      <c r="E138" s="6"/>
      <c r="F138" s="6"/>
      <c r="G138" s="6"/>
      <c r="H138" s="23">
        <f t="shared" si="17"/>
        <v>500000</v>
      </c>
      <c r="J138">
        <v>128</v>
      </c>
      <c r="K138" s="4">
        <f t="shared" si="12"/>
        <v>0</v>
      </c>
      <c r="L138" s="4">
        <f t="shared" si="13"/>
        <v>0</v>
      </c>
      <c r="M138" s="4">
        <f t="shared" si="14"/>
        <v>0</v>
      </c>
      <c r="N138" s="4">
        <f t="shared" si="15"/>
        <v>0</v>
      </c>
      <c r="O138" s="4">
        <f t="shared" si="16"/>
        <v>0</v>
      </c>
    </row>
    <row r="139" spans="2:15" x14ac:dyDescent="0.3">
      <c r="B139">
        <v>130</v>
      </c>
      <c r="C139" s="6"/>
      <c r="D139" s="6"/>
      <c r="E139" s="6"/>
      <c r="F139" s="6"/>
      <c r="G139" s="6"/>
      <c r="H139" s="23">
        <f t="shared" si="17"/>
        <v>500000</v>
      </c>
      <c r="J139">
        <v>129</v>
      </c>
      <c r="K139" s="4">
        <f t="shared" si="12"/>
        <v>0</v>
      </c>
      <c r="L139" s="4">
        <f t="shared" si="13"/>
        <v>0</v>
      </c>
      <c r="M139" s="4">
        <f t="shared" si="14"/>
        <v>0</v>
      </c>
      <c r="N139" s="4">
        <f t="shared" si="15"/>
        <v>0</v>
      </c>
      <c r="O139" s="4">
        <f t="shared" si="16"/>
        <v>0</v>
      </c>
    </row>
    <row r="140" spans="2:15" x14ac:dyDescent="0.3">
      <c r="B140">
        <v>131</v>
      </c>
      <c r="C140" s="6"/>
      <c r="D140" s="6"/>
      <c r="E140" s="6"/>
      <c r="F140" s="6"/>
      <c r="G140" s="6"/>
      <c r="H140" s="23">
        <f t="shared" si="17"/>
        <v>500000</v>
      </c>
      <c r="J140">
        <v>130</v>
      </c>
      <c r="K140" s="4">
        <f t="shared" ref="K140:K203" si="18">IF(J140&gt;($M$3+$F$3),L140+M140,$C$5)</f>
        <v>0</v>
      </c>
      <c r="L140" s="4">
        <f t="shared" ref="L140:L203" si="19">O139*$C$3</f>
        <v>0</v>
      </c>
      <c r="M140" s="4">
        <f t="shared" ref="M140:M203" si="20">IF(J140&lt;($M$3+$F$3),K140-L140,O139)</f>
        <v>0</v>
      </c>
      <c r="N140" s="4">
        <f t="shared" ref="N140:N203" si="21">IF(B139=$F$3,$F$2,0)</f>
        <v>0</v>
      </c>
      <c r="O140" s="4">
        <f t="shared" ref="O140:O203" si="22">O139-M140-N140</f>
        <v>0</v>
      </c>
    </row>
    <row r="141" spans="2:15" x14ac:dyDescent="0.3">
      <c r="B141">
        <v>132</v>
      </c>
      <c r="C141" s="6"/>
      <c r="D141" s="6"/>
      <c r="E141" s="6"/>
      <c r="F141" s="6"/>
      <c r="G141" s="6"/>
      <c r="H141" s="23">
        <f t="shared" si="17"/>
        <v>500000</v>
      </c>
      <c r="J141">
        <v>131</v>
      </c>
      <c r="K141" s="4">
        <f t="shared" si="18"/>
        <v>0</v>
      </c>
      <c r="L141" s="4">
        <f t="shared" si="19"/>
        <v>0</v>
      </c>
      <c r="M141" s="4">
        <f t="shared" si="20"/>
        <v>0</v>
      </c>
      <c r="N141" s="4">
        <f t="shared" si="21"/>
        <v>0</v>
      </c>
      <c r="O141" s="4">
        <f t="shared" si="22"/>
        <v>0</v>
      </c>
    </row>
    <row r="142" spans="2:15" x14ac:dyDescent="0.3">
      <c r="B142">
        <v>133</v>
      </c>
      <c r="C142" s="6"/>
      <c r="D142" s="6"/>
      <c r="E142" s="6"/>
      <c r="F142" s="6"/>
      <c r="G142" s="6"/>
      <c r="H142" s="23">
        <f t="shared" si="17"/>
        <v>500000</v>
      </c>
      <c r="J142">
        <v>132</v>
      </c>
      <c r="K142" s="4">
        <f t="shared" si="18"/>
        <v>0</v>
      </c>
      <c r="L142" s="4">
        <f t="shared" si="19"/>
        <v>0</v>
      </c>
      <c r="M142" s="4">
        <f t="shared" si="20"/>
        <v>0</v>
      </c>
      <c r="N142" s="4">
        <f t="shared" si="21"/>
        <v>0</v>
      </c>
      <c r="O142" s="4">
        <f t="shared" si="22"/>
        <v>0</v>
      </c>
    </row>
    <row r="143" spans="2:15" x14ac:dyDescent="0.3">
      <c r="B143">
        <v>134</v>
      </c>
      <c r="C143" s="6"/>
      <c r="D143" s="6"/>
      <c r="E143" s="6"/>
      <c r="F143" s="6"/>
      <c r="G143" s="6"/>
      <c r="H143" s="23">
        <f t="shared" si="17"/>
        <v>500000</v>
      </c>
      <c r="J143">
        <v>133</v>
      </c>
      <c r="K143" s="4">
        <f t="shared" si="18"/>
        <v>0</v>
      </c>
      <c r="L143" s="4">
        <f t="shared" si="19"/>
        <v>0</v>
      </c>
      <c r="M143" s="4">
        <f t="shared" si="20"/>
        <v>0</v>
      </c>
      <c r="N143" s="4">
        <f t="shared" si="21"/>
        <v>0</v>
      </c>
      <c r="O143" s="4">
        <f t="shared" si="22"/>
        <v>0</v>
      </c>
    </row>
    <row r="144" spans="2:15" x14ac:dyDescent="0.3">
      <c r="B144">
        <v>135</v>
      </c>
      <c r="C144" s="6"/>
      <c r="D144" s="6"/>
      <c r="E144" s="6"/>
      <c r="F144" s="6"/>
      <c r="G144" s="6"/>
      <c r="H144" s="23">
        <f t="shared" si="17"/>
        <v>500000</v>
      </c>
      <c r="J144">
        <v>134</v>
      </c>
      <c r="K144" s="4">
        <f t="shared" si="18"/>
        <v>0</v>
      </c>
      <c r="L144" s="4">
        <f t="shared" si="19"/>
        <v>0</v>
      </c>
      <c r="M144" s="4">
        <f t="shared" si="20"/>
        <v>0</v>
      </c>
      <c r="N144" s="4">
        <f t="shared" si="21"/>
        <v>0</v>
      </c>
      <c r="O144" s="4">
        <f t="shared" si="22"/>
        <v>0</v>
      </c>
    </row>
    <row r="145" spans="2:15" x14ac:dyDescent="0.3">
      <c r="B145">
        <v>136</v>
      </c>
      <c r="C145" s="6"/>
      <c r="D145" s="6"/>
      <c r="E145" s="6"/>
      <c r="F145" s="6"/>
      <c r="G145" s="6"/>
      <c r="H145" s="23">
        <f t="shared" si="17"/>
        <v>500000</v>
      </c>
      <c r="J145">
        <v>135</v>
      </c>
      <c r="K145" s="4">
        <f t="shared" si="18"/>
        <v>0</v>
      </c>
      <c r="L145" s="4">
        <f t="shared" si="19"/>
        <v>0</v>
      </c>
      <c r="M145" s="4">
        <f t="shared" si="20"/>
        <v>0</v>
      </c>
      <c r="N145" s="4">
        <f t="shared" si="21"/>
        <v>0</v>
      </c>
      <c r="O145" s="4">
        <f t="shared" si="22"/>
        <v>0</v>
      </c>
    </row>
    <row r="146" spans="2:15" x14ac:dyDescent="0.3">
      <c r="B146">
        <v>137</v>
      </c>
      <c r="C146" s="6"/>
      <c r="D146" s="6"/>
      <c r="E146" s="6"/>
      <c r="F146" s="6"/>
      <c r="G146" s="6"/>
      <c r="H146" s="23">
        <f t="shared" si="17"/>
        <v>500000</v>
      </c>
      <c r="J146">
        <v>136</v>
      </c>
      <c r="K146" s="4">
        <f t="shared" si="18"/>
        <v>0</v>
      </c>
      <c r="L146" s="4">
        <f t="shared" si="19"/>
        <v>0</v>
      </c>
      <c r="M146" s="4">
        <f t="shared" si="20"/>
        <v>0</v>
      </c>
      <c r="N146" s="4">
        <f t="shared" si="21"/>
        <v>0</v>
      </c>
      <c r="O146" s="4">
        <f t="shared" si="22"/>
        <v>0</v>
      </c>
    </row>
    <row r="147" spans="2:15" x14ac:dyDescent="0.3">
      <c r="B147">
        <v>138</v>
      </c>
      <c r="C147" s="6"/>
      <c r="D147" s="6"/>
      <c r="E147" s="6"/>
      <c r="F147" s="6"/>
      <c r="G147" s="6"/>
      <c r="H147" s="23">
        <f t="shared" si="17"/>
        <v>500000</v>
      </c>
      <c r="J147">
        <v>137</v>
      </c>
      <c r="K147" s="4">
        <f t="shared" si="18"/>
        <v>0</v>
      </c>
      <c r="L147" s="4">
        <f t="shared" si="19"/>
        <v>0</v>
      </c>
      <c r="M147" s="4">
        <f t="shared" si="20"/>
        <v>0</v>
      </c>
      <c r="N147" s="4">
        <f t="shared" si="21"/>
        <v>0</v>
      </c>
      <c r="O147" s="4">
        <f t="shared" si="22"/>
        <v>0</v>
      </c>
    </row>
    <row r="148" spans="2:15" x14ac:dyDescent="0.3">
      <c r="B148">
        <v>139</v>
      </c>
      <c r="C148" s="6"/>
      <c r="D148" s="6"/>
      <c r="E148" s="6"/>
      <c r="F148" s="6"/>
      <c r="G148" s="6"/>
      <c r="H148" s="23">
        <f t="shared" si="17"/>
        <v>500000</v>
      </c>
      <c r="J148">
        <v>138</v>
      </c>
      <c r="K148" s="4">
        <f t="shared" si="18"/>
        <v>0</v>
      </c>
      <c r="L148" s="4">
        <f t="shared" si="19"/>
        <v>0</v>
      </c>
      <c r="M148" s="4">
        <f t="shared" si="20"/>
        <v>0</v>
      </c>
      <c r="N148" s="4">
        <f t="shared" si="21"/>
        <v>0</v>
      </c>
      <c r="O148" s="4">
        <f t="shared" si="22"/>
        <v>0</v>
      </c>
    </row>
    <row r="149" spans="2:15" x14ac:dyDescent="0.3">
      <c r="B149">
        <v>140</v>
      </c>
      <c r="C149" s="6"/>
      <c r="D149" s="6"/>
      <c r="E149" s="6"/>
      <c r="F149" s="6"/>
      <c r="G149" s="6"/>
      <c r="H149" s="23">
        <f t="shared" si="17"/>
        <v>500000</v>
      </c>
      <c r="J149">
        <v>139</v>
      </c>
      <c r="K149" s="4">
        <f t="shared" si="18"/>
        <v>0</v>
      </c>
      <c r="L149" s="4">
        <f t="shared" si="19"/>
        <v>0</v>
      </c>
      <c r="M149" s="4">
        <f t="shared" si="20"/>
        <v>0</v>
      </c>
      <c r="N149" s="4">
        <f t="shared" si="21"/>
        <v>0</v>
      </c>
      <c r="O149" s="4">
        <f t="shared" si="22"/>
        <v>0</v>
      </c>
    </row>
    <row r="150" spans="2:15" x14ac:dyDescent="0.3">
      <c r="B150">
        <v>141</v>
      </c>
      <c r="C150" s="6"/>
      <c r="D150" s="6"/>
      <c r="E150" s="6"/>
      <c r="F150" s="6"/>
      <c r="G150" s="6"/>
      <c r="H150" s="23">
        <f t="shared" si="17"/>
        <v>500000</v>
      </c>
      <c r="J150">
        <v>140</v>
      </c>
      <c r="K150" s="4">
        <f t="shared" si="18"/>
        <v>0</v>
      </c>
      <c r="L150" s="4">
        <f t="shared" si="19"/>
        <v>0</v>
      </c>
      <c r="M150" s="4">
        <f t="shared" si="20"/>
        <v>0</v>
      </c>
      <c r="N150" s="4">
        <f t="shared" si="21"/>
        <v>0</v>
      </c>
      <c r="O150" s="4">
        <f t="shared" si="22"/>
        <v>0</v>
      </c>
    </row>
    <row r="151" spans="2:15" x14ac:dyDescent="0.3">
      <c r="B151">
        <v>142</v>
      </c>
      <c r="C151" s="6"/>
      <c r="D151" s="6"/>
      <c r="E151" s="6"/>
      <c r="F151" s="6"/>
      <c r="G151" s="6"/>
      <c r="H151" s="23">
        <f t="shared" si="17"/>
        <v>500000</v>
      </c>
      <c r="J151">
        <v>141</v>
      </c>
      <c r="K151" s="4">
        <f t="shared" si="18"/>
        <v>0</v>
      </c>
      <c r="L151" s="4">
        <f t="shared" si="19"/>
        <v>0</v>
      </c>
      <c r="M151" s="4">
        <f t="shared" si="20"/>
        <v>0</v>
      </c>
      <c r="N151" s="4">
        <f t="shared" si="21"/>
        <v>0</v>
      </c>
      <c r="O151" s="4">
        <f t="shared" si="22"/>
        <v>0</v>
      </c>
    </row>
    <row r="152" spans="2:15" x14ac:dyDescent="0.3">
      <c r="B152">
        <v>143</v>
      </c>
      <c r="C152" s="6"/>
      <c r="D152" s="6"/>
      <c r="E152" s="6"/>
      <c r="F152" s="6"/>
      <c r="G152" s="6"/>
      <c r="H152" s="23">
        <f t="shared" si="17"/>
        <v>500000</v>
      </c>
      <c r="J152">
        <v>142</v>
      </c>
      <c r="K152" s="4">
        <f t="shared" si="18"/>
        <v>0</v>
      </c>
      <c r="L152" s="4">
        <f t="shared" si="19"/>
        <v>0</v>
      </c>
      <c r="M152" s="4">
        <f t="shared" si="20"/>
        <v>0</v>
      </c>
      <c r="N152" s="4">
        <f t="shared" si="21"/>
        <v>0</v>
      </c>
      <c r="O152" s="4">
        <f t="shared" si="22"/>
        <v>0</v>
      </c>
    </row>
    <row r="153" spans="2:15" x14ac:dyDescent="0.3">
      <c r="B153">
        <v>144</v>
      </c>
      <c r="C153" s="6"/>
      <c r="D153" s="6"/>
      <c r="E153" s="6"/>
      <c r="F153" s="6"/>
      <c r="G153" s="6"/>
      <c r="H153" s="23">
        <f t="shared" si="17"/>
        <v>500000</v>
      </c>
      <c r="J153">
        <v>143</v>
      </c>
      <c r="K153" s="4">
        <f t="shared" si="18"/>
        <v>0</v>
      </c>
      <c r="L153" s="4">
        <f t="shared" si="19"/>
        <v>0</v>
      </c>
      <c r="M153" s="4">
        <f t="shared" si="20"/>
        <v>0</v>
      </c>
      <c r="N153" s="4">
        <f t="shared" si="21"/>
        <v>0</v>
      </c>
      <c r="O153" s="4">
        <f t="shared" si="22"/>
        <v>0</v>
      </c>
    </row>
    <row r="154" spans="2:15" x14ac:dyDescent="0.3">
      <c r="B154">
        <v>145</v>
      </c>
      <c r="C154" s="6"/>
      <c r="D154" s="6"/>
      <c r="E154" s="6"/>
      <c r="F154" s="6"/>
      <c r="G154" s="6"/>
      <c r="H154" s="23">
        <f t="shared" si="17"/>
        <v>500000</v>
      </c>
      <c r="J154">
        <v>144</v>
      </c>
      <c r="K154" s="4">
        <f t="shared" si="18"/>
        <v>0</v>
      </c>
      <c r="L154" s="4">
        <f t="shared" si="19"/>
        <v>0</v>
      </c>
      <c r="M154" s="4">
        <f t="shared" si="20"/>
        <v>0</v>
      </c>
      <c r="N154" s="4">
        <f t="shared" si="21"/>
        <v>0</v>
      </c>
      <c r="O154" s="4">
        <f t="shared" si="22"/>
        <v>0</v>
      </c>
    </row>
    <row r="155" spans="2:15" x14ac:dyDescent="0.3">
      <c r="B155">
        <v>146</v>
      </c>
      <c r="C155" s="6"/>
      <c r="D155" s="6"/>
      <c r="E155" s="6"/>
      <c r="F155" s="6"/>
      <c r="G155" s="6"/>
      <c r="H155" s="23">
        <f t="shared" si="17"/>
        <v>500000</v>
      </c>
      <c r="J155">
        <v>145</v>
      </c>
      <c r="K155" s="4">
        <f t="shared" si="18"/>
        <v>0</v>
      </c>
      <c r="L155" s="4">
        <f t="shared" si="19"/>
        <v>0</v>
      </c>
      <c r="M155" s="4">
        <f t="shared" si="20"/>
        <v>0</v>
      </c>
      <c r="N155" s="4">
        <f t="shared" si="21"/>
        <v>0</v>
      </c>
      <c r="O155" s="4">
        <f t="shared" si="22"/>
        <v>0</v>
      </c>
    </row>
    <row r="156" spans="2:15" x14ac:dyDescent="0.3">
      <c r="B156">
        <v>147</v>
      </c>
      <c r="C156" s="6"/>
      <c r="D156" s="6"/>
      <c r="E156" s="6"/>
      <c r="F156" s="6"/>
      <c r="G156" s="6"/>
      <c r="H156" s="23">
        <f t="shared" si="17"/>
        <v>500000</v>
      </c>
      <c r="J156">
        <v>146</v>
      </c>
      <c r="K156" s="4">
        <f t="shared" si="18"/>
        <v>0</v>
      </c>
      <c r="L156" s="4">
        <f t="shared" si="19"/>
        <v>0</v>
      </c>
      <c r="M156" s="4">
        <f t="shared" si="20"/>
        <v>0</v>
      </c>
      <c r="N156" s="4">
        <f t="shared" si="21"/>
        <v>0</v>
      </c>
      <c r="O156" s="4">
        <f t="shared" si="22"/>
        <v>0</v>
      </c>
    </row>
    <row r="157" spans="2:15" x14ac:dyDescent="0.3">
      <c r="B157">
        <v>148</v>
      </c>
      <c r="C157" s="6"/>
      <c r="D157" s="6"/>
      <c r="E157" s="6"/>
      <c r="F157" s="6"/>
      <c r="G157" s="6"/>
      <c r="H157" s="23">
        <f t="shared" si="17"/>
        <v>500000</v>
      </c>
      <c r="J157">
        <v>147</v>
      </c>
      <c r="K157" s="4">
        <f t="shared" si="18"/>
        <v>0</v>
      </c>
      <c r="L157" s="4">
        <f t="shared" si="19"/>
        <v>0</v>
      </c>
      <c r="M157" s="4">
        <f t="shared" si="20"/>
        <v>0</v>
      </c>
      <c r="N157" s="4">
        <f t="shared" si="21"/>
        <v>0</v>
      </c>
      <c r="O157" s="4">
        <f t="shared" si="22"/>
        <v>0</v>
      </c>
    </row>
    <row r="158" spans="2:15" x14ac:dyDescent="0.3">
      <c r="B158">
        <v>149</v>
      </c>
      <c r="C158" s="6"/>
      <c r="D158" s="6"/>
      <c r="E158" s="6"/>
      <c r="F158" s="6"/>
      <c r="G158" s="6"/>
      <c r="H158" s="23">
        <f t="shared" si="17"/>
        <v>500000</v>
      </c>
      <c r="J158">
        <v>148</v>
      </c>
      <c r="K158" s="4">
        <f t="shared" si="18"/>
        <v>0</v>
      </c>
      <c r="L158" s="4">
        <f t="shared" si="19"/>
        <v>0</v>
      </c>
      <c r="M158" s="4">
        <f t="shared" si="20"/>
        <v>0</v>
      </c>
      <c r="N158" s="4">
        <f t="shared" si="21"/>
        <v>0</v>
      </c>
      <c r="O158" s="4">
        <f t="shared" si="22"/>
        <v>0</v>
      </c>
    </row>
    <row r="159" spans="2:15" x14ac:dyDescent="0.3">
      <c r="B159">
        <v>150</v>
      </c>
      <c r="C159" s="6"/>
      <c r="D159" s="6"/>
      <c r="E159" s="6"/>
      <c r="F159" s="6"/>
      <c r="G159" s="6"/>
      <c r="H159" s="23">
        <f t="shared" si="17"/>
        <v>500000</v>
      </c>
      <c r="J159">
        <v>149</v>
      </c>
      <c r="K159" s="4">
        <f t="shared" si="18"/>
        <v>0</v>
      </c>
      <c r="L159" s="4">
        <f t="shared" si="19"/>
        <v>0</v>
      </c>
      <c r="M159" s="4">
        <f t="shared" si="20"/>
        <v>0</v>
      </c>
      <c r="N159" s="4">
        <f t="shared" si="21"/>
        <v>0</v>
      </c>
      <c r="O159" s="4">
        <f t="shared" si="22"/>
        <v>0</v>
      </c>
    </row>
    <row r="160" spans="2:15" x14ac:dyDescent="0.3">
      <c r="B160">
        <v>151</v>
      </c>
      <c r="C160" s="6"/>
      <c r="D160" s="6"/>
      <c r="E160" s="6"/>
      <c r="F160" s="6"/>
      <c r="G160" s="6"/>
      <c r="H160" s="23">
        <f t="shared" si="17"/>
        <v>500000</v>
      </c>
      <c r="J160">
        <v>150</v>
      </c>
      <c r="K160" s="4">
        <f t="shared" si="18"/>
        <v>0</v>
      </c>
      <c r="L160" s="4">
        <f t="shared" si="19"/>
        <v>0</v>
      </c>
      <c r="M160" s="4">
        <f t="shared" si="20"/>
        <v>0</v>
      </c>
      <c r="N160" s="4">
        <f t="shared" si="21"/>
        <v>0</v>
      </c>
      <c r="O160" s="4">
        <f t="shared" si="22"/>
        <v>0</v>
      </c>
    </row>
    <row r="161" spans="2:15" x14ac:dyDescent="0.3">
      <c r="B161">
        <v>152</v>
      </c>
      <c r="C161" s="6"/>
      <c r="D161" s="6"/>
      <c r="E161" s="6"/>
      <c r="F161" s="6"/>
      <c r="G161" s="6"/>
      <c r="H161" s="23">
        <f t="shared" si="17"/>
        <v>500000</v>
      </c>
      <c r="J161">
        <v>151</v>
      </c>
      <c r="K161" s="4">
        <f t="shared" si="18"/>
        <v>0</v>
      </c>
      <c r="L161" s="4">
        <f t="shared" si="19"/>
        <v>0</v>
      </c>
      <c r="M161" s="4">
        <f t="shared" si="20"/>
        <v>0</v>
      </c>
      <c r="N161" s="4">
        <f t="shared" si="21"/>
        <v>0</v>
      </c>
      <c r="O161" s="4">
        <f t="shared" si="22"/>
        <v>0</v>
      </c>
    </row>
    <row r="162" spans="2:15" x14ac:dyDescent="0.3">
      <c r="B162">
        <v>153</v>
      </c>
      <c r="C162" s="6"/>
      <c r="D162" s="6"/>
      <c r="E162" s="6"/>
      <c r="F162" s="6"/>
      <c r="G162" s="6"/>
      <c r="H162" s="23">
        <f t="shared" si="17"/>
        <v>500000</v>
      </c>
      <c r="J162">
        <v>152</v>
      </c>
      <c r="K162" s="4">
        <f t="shared" si="18"/>
        <v>0</v>
      </c>
      <c r="L162" s="4">
        <f t="shared" si="19"/>
        <v>0</v>
      </c>
      <c r="M162" s="4">
        <f t="shared" si="20"/>
        <v>0</v>
      </c>
      <c r="N162" s="4">
        <f t="shared" si="21"/>
        <v>0</v>
      </c>
      <c r="O162" s="4">
        <f t="shared" si="22"/>
        <v>0</v>
      </c>
    </row>
    <row r="163" spans="2:15" x14ac:dyDescent="0.3">
      <c r="B163">
        <v>154</v>
      </c>
      <c r="C163" s="6"/>
      <c r="D163" s="6"/>
      <c r="E163" s="6"/>
      <c r="F163" s="6"/>
      <c r="G163" s="6"/>
      <c r="H163" s="23">
        <f t="shared" si="17"/>
        <v>500000</v>
      </c>
      <c r="J163">
        <v>153</v>
      </c>
      <c r="K163" s="4">
        <f t="shared" si="18"/>
        <v>0</v>
      </c>
      <c r="L163" s="4">
        <f t="shared" si="19"/>
        <v>0</v>
      </c>
      <c r="M163" s="4">
        <f t="shared" si="20"/>
        <v>0</v>
      </c>
      <c r="N163" s="4">
        <f t="shared" si="21"/>
        <v>0</v>
      </c>
      <c r="O163" s="4">
        <f t="shared" si="22"/>
        <v>0</v>
      </c>
    </row>
    <row r="164" spans="2:15" x14ac:dyDescent="0.3">
      <c r="B164">
        <v>155</v>
      </c>
      <c r="C164" s="6"/>
      <c r="D164" s="6"/>
      <c r="E164" s="6"/>
      <c r="F164" s="6"/>
      <c r="G164" s="6"/>
      <c r="H164" s="23">
        <f t="shared" si="17"/>
        <v>500000</v>
      </c>
      <c r="J164">
        <v>154</v>
      </c>
      <c r="K164" s="4">
        <f t="shared" si="18"/>
        <v>0</v>
      </c>
      <c r="L164" s="4">
        <f t="shared" si="19"/>
        <v>0</v>
      </c>
      <c r="M164" s="4">
        <f t="shared" si="20"/>
        <v>0</v>
      </c>
      <c r="N164" s="4">
        <f t="shared" si="21"/>
        <v>0</v>
      </c>
      <c r="O164" s="4">
        <f t="shared" si="22"/>
        <v>0</v>
      </c>
    </row>
    <row r="165" spans="2:15" x14ac:dyDescent="0.3">
      <c r="B165">
        <v>156</v>
      </c>
      <c r="C165" s="6"/>
      <c r="D165" s="6"/>
      <c r="E165" s="6"/>
      <c r="F165" s="6"/>
      <c r="G165" s="6"/>
      <c r="H165" s="23">
        <f t="shared" si="17"/>
        <v>500000</v>
      </c>
      <c r="J165">
        <v>155</v>
      </c>
      <c r="K165" s="4">
        <f t="shared" si="18"/>
        <v>0</v>
      </c>
      <c r="L165" s="4">
        <f t="shared" si="19"/>
        <v>0</v>
      </c>
      <c r="M165" s="4">
        <f t="shared" si="20"/>
        <v>0</v>
      </c>
      <c r="N165" s="4">
        <f t="shared" si="21"/>
        <v>0</v>
      </c>
      <c r="O165" s="4">
        <f t="shared" si="22"/>
        <v>0</v>
      </c>
    </row>
    <row r="166" spans="2:15" x14ac:dyDescent="0.3">
      <c r="B166">
        <v>157</v>
      </c>
      <c r="C166" s="6"/>
      <c r="D166" s="6"/>
      <c r="E166" s="6"/>
      <c r="F166" s="6"/>
      <c r="G166" s="6"/>
      <c r="H166" s="23">
        <f t="shared" si="17"/>
        <v>500000</v>
      </c>
      <c r="J166">
        <v>156</v>
      </c>
      <c r="K166" s="4">
        <f t="shared" si="18"/>
        <v>0</v>
      </c>
      <c r="L166" s="4">
        <f t="shared" si="19"/>
        <v>0</v>
      </c>
      <c r="M166" s="4">
        <f t="shared" si="20"/>
        <v>0</v>
      </c>
      <c r="N166" s="4">
        <f t="shared" si="21"/>
        <v>0</v>
      </c>
      <c r="O166" s="4">
        <f t="shared" si="22"/>
        <v>0</v>
      </c>
    </row>
    <row r="167" spans="2:15" x14ac:dyDescent="0.3">
      <c r="B167">
        <v>158</v>
      </c>
      <c r="C167" s="6"/>
      <c r="D167" s="6"/>
      <c r="E167" s="6"/>
      <c r="F167" s="6"/>
      <c r="G167" s="6"/>
      <c r="H167" s="23">
        <f t="shared" si="17"/>
        <v>500000</v>
      </c>
      <c r="J167">
        <v>157</v>
      </c>
      <c r="K167" s="4">
        <f t="shared" si="18"/>
        <v>0</v>
      </c>
      <c r="L167" s="4">
        <f t="shared" si="19"/>
        <v>0</v>
      </c>
      <c r="M167" s="4">
        <f t="shared" si="20"/>
        <v>0</v>
      </c>
      <c r="N167" s="4">
        <f t="shared" si="21"/>
        <v>0</v>
      </c>
      <c r="O167" s="4">
        <f t="shared" si="22"/>
        <v>0</v>
      </c>
    </row>
    <row r="168" spans="2:15" x14ac:dyDescent="0.3">
      <c r="B168">
        <v>159</v>
      </c>
      <c r="C168" s="6"/>
      <c r="D168" s="6"/>
      <c r="E168" s="6"/>
      <c r="F168" s="6"/>
      <c r="G168" s="6"/>
      <c r="H168" s="23">
        <f t="shared" si="17"/>
        <v>500000</v>
      </c>
      <c r="J168">
        <v>158</v>
      </c>
      <c r="K168" s="4">
        <f t="shared" si="18"/>
        <v>0</v>
      </c>
      <c r="L168" s="4">
        <f t="shared" si="19"/>
        <v>0</v>
      </c>
      <c r="M168" s="4">
        <f t="shared" si="20"/>
        <v>0</v>
      </c>
      <c r="N168" s="4">
        <f t="shared" si="21"/>
        <v>0</v>
      </c>
      <c r="O168" s="4">
        <f t="shared" si="22"/>
        <v>0</v>
      </c>
    </row>
    <row r="169" spans="2:15" x14ac:dyDescent="0.3">
      <c r="B169">
        <v>160</v>
      </c>
      <c r="C169" s="6"/>
      <c r="D169" s="6"/>
      <c r="E169" s="6"/>
      <c r="F169" s="6"/>
      <c r="G169" s="6"/>
      <c r="H169" s="23">
        <f t="shared" si="17"/>
        <v>500000</v>
      </c>
      <c r="J169">
        <v>159</v>
      </c>
      <c r="K169" s="4">
        <f t="shared" si="18"/>
        <v>0</v>
      </c>
      <c r="L169" s="4">
        <f t="shared" si="19"/>
        <v>0</v>
      </c>
      <c r="M169" s="4">
        <f t="shared" si="20"/>
        <v>0</v>
      </c>
      <c r="N169" s="4">
        <f t="shared" si="21"/>
        <v>0</v>
      </c>
      <c r="O169" s="4">
        <f t="shared" si="22"/>
        <v>0</v>
      </c>
    </row>
    <row r="170" spans="2:15" x14ac:dyDescent="0.3">
      <c r="B170">
        <v>161</v>
      </c>
      <c r="C170" s="6"/>
      <c r="D170" s="6"/>
      <c r="E170" s="6"/>
      <c r="F170" s="6"/>
      <c r="G170" s="6"/>
      <c r="H170" s="23">
        <f t="shared" si="17"/>
        <v>500000</v>
      </c>
      <c r="J170">
        <v>160</v>
      </c>
      <c r="K170" s="4">
        <f t="shared" si="18"/>
        <v>0</v>
      </c>
      <c r="L170" s="4">
        <f t="shared" si="19"/>
        <v>0</v>
      </c>
      <c r="M170" s="4">
        <f t="shared" si="20"/>
        <v>0</v>
      </c>
      <c r="N170" s="4">
        <f t="shared" si="21"/>
        <v>0</v>
      </c>
      <c r="O170" s="4">
        <f t="shared" si="22"/>
        <v>0</v>
      </c>
    </row>
    <row r="171" spans="2:15" x14ac:dyDescent="0.3">
      <c r="B171">
        <v>162</v>
      </c>
      <c r="C171" s="6"/>
      <c r="D171" s="6"/>
      <c r="E171" s="6"/>
      <c r="F171" s="6"/>
      <c r="G171" s="6"/>
      <c r="H171" s="23">
        <f t="shared" si="17"/>
        <v>500000</v>
      </c>
      <c r="J171">
        <v>161</v>
      </c>
      <c r="K171" s="4">
        <f t="shared" si="18"/>
        <v>0</v>
      </c>
      <c r="L171" s="4">
        <f t="shared" si="19"/>
        <v>0</v>
      </c>
      <c r="M171" s="4">
        <f t="shared" si="20"/>
        <v>0</v>
      </c>
      <c r="N171" s="4">
        <f t="shared" si="21"/>
        <v>0</v>
      </c>
      <c r="O171" s="4">
        <f t="shared" si="22"/>
        <v>0</v>
      </c>
    </row>
    <row r="172" spans="2:15" x14ac:dyDescent="0.3">
      <c r="B172">
        <v>163</v>
      </c>
      <c r="C172" s="6"/>
      <c r="D172" s="6"/>
      <c r="E172" s="6"/>
      <c r="F172" s="6"/>
      <c r="G172" s="6"/>
      <c r="H172" s="23">
        <f t="shared" si="17"/>
        <v>500000</v>
      </c>
      <c r="J172">
        <v>162</v>
      </c>
      <c r="K172" s="4">
        <f t="shared" si="18"/>
        <v>0</v>
      </c>
      <c r="L172" s="4">
        <f t="shared" si="19"/>
        <v>0</v>
      </c>
      <c r="M172" s="4">
        <f t="shared" si="20"/>
        <v>0</v>
      </c>
      <c r="N172" s="4">
        <f t="shared" si="21"/>
        <v>0</v>
      </c>
      <c r="O172" s="4">
        <f t="shared" si="22"/>
        <v>0</v>
      </c>
    </row>
    <row r="173" spans="2:15" x14ac:dyDescent="0.3">
      <c r="B173">
        <v>164</v>
      </c>
      <c r="C173" s="6"/>
      <c r="D173" s="6"/>
      <c r="E173" s="6"/>
      <c r="F173" s="6"/>
      <c r="G173" s="6"/>
      <c r="H173" s="23">
        <f t="shared" si="17"/>
        <v>500000</v>
      </c>
      <c r="J173">
        <v>163</v>
      </c>
      <c r="K173" s="4">
        <f t="shared" si="18"/>
        <v>0</v>
      </c>
      <c r="L173" s="4">
        <f t="shared" si="19"/>
        <v>0</v>
      </c>
      <c r="M173" s="4">
        <f t="shared" si="20"/>
        <v>0</v>
      </c>
      <c r="N173" s="4">
        <f t="shared" si="21"/>
        <v>0</v>
      </c>
      <c r="O173" s="4">
        <f t="shared" si="22"/>
        <v>0</v>
      </c>
    </row>
    <row r="174" spans="2:15" x14ac:dyDescent="0.3">
      <c r="B174">
        <v>165</v>
      </c>
      <c r="C174" s="6"/>
      <c r="D174" s="6"/>
      <c r="E174" s="6"/>
      <c r="F174" s="6"/>
      <c r="G174" s="6"/>
      <c r="H174" s="23">
        <f t="shared" si="17"/>
        <v>500000</v>
      </c>
      <c r="J174">
        <v>164</v>
      </c>
      <c r="K174" s="4">
        <f t="shared" si="18"/>
        <v>0</v>
      </c>
      <c r="L174" s="4">
        <f t="shared" si="19"/>
        <v>0</v>
      </c>
      <c r="M174" s="4">
        <f t="shared" si="20"/>
        <v>0</v>
      </c>
      <c r="N174" s="4">
        <f t="shared" si="21"/>
        <v>0</v>
      </c>
      <c r="O174" s="4">
        <f t="shared" si="22"/>
        <v>0</v>
      </c>
    </row>
    <row r="175" spans="2:15" x14ac:dyDescent="0.3">
      <c r="B175">
        <v>166</v>
      </c>
      <c r="C175" s="6"/>
      <c r="D175" s="6"/>
      <c r="E175" s="6"/>
      <c r="F175" s="6"/>
      <c r="G175" s="6"/>
      <c r="H175" s="23">
        <f t="shared" si="17"/>
        <v>500000</v>
      </c>
      <c r="J175">
        <v>165</v>
      </c>
      <c r="K175" s="4">
        <f t="shared" si="18"/>
        <v>0</v>
      </c>
      <c r="L175" s="4">
        <f t="shared" si="19"/>
        <v>0</v>
      </c>
      <c r="M175" s="4">
        <f t="shared" si="20"/>
        <v>0</v>
      </c>
      <c r="N175" s="4">
        <f t="shared" si="21"/>
        <v>0</v>
      </c>
      <c r="O175" s="4">
        <f t="shared" si="22"/>
        <v>0</v>
      </c>
    </row>
    <row r="176" spans="2:15" x14ac:dyDescent="0.3">
      <c r="B176">
        <v>167</v>
      </c>
      <c r="C176" s="6"/>
      <c r="D176" s="6"/>
      <c r="E176" s="6"/>
      <c r="F176" s="6"/>
      <c r="G176" s="6"/>
      <c r="H176" s="23">
        <f t="shared" si="17"/>
        <v>500000</v>
      </c>
      <c r="J176">
        <v>166</v>
      </c>
      <c r="K176" s="4">
        <f t="shared" si="18"/>
        <v>0</v>
      </c>
      <c r="L176" s="4">
        <f t="shared" si="19"/>
        <v>0</v>
      </c>
      <c r="M176" s="4">
        <f t="shared" si="20"/>
        <v>0</v>
      </c>
      <c r="N176" s="4">
        <f t="shared" si="21"/>
        <v>0</v>
      </c>
      <c r="O176" s="4">
        <f t="shared" si="22"/>
        <v>0</v>
      </c>
    </row>
    <row r="177" spans="2:15" x14ac:dyDescent="0.3">
      <c r="B177">
        <v>168</v>
      </c>
      <c r="C177" s="6"/>
      <c r="D177" s="6"/>
      <c r="E177" s="6"/>
      <c r="F177" s="6"/>
      <c r="G177" s="6"/>
      <c r="H177" s="23">
        <f t="shared" si="17"/>
        <v>500000</v>
      </c>
      <c r="J177">
        <v>167</v>
      </c>
      <c r="K177" s="4">
        <f t="shared" si="18"/>
        <v>0</v>
      </c>
      <c r="L177" s="4">
        <f t="shared" si="19"/>
        <v>0</v>
      </c>
      <c r="M177" s="4">
        <f t="shared" si="20"/>
        <v>0</v>
      </c>
      <c r="N177" s="4">
        <f t="shared" si="21"/>
        <v>0</v>
      </c>
      <c r="O177" s="4">
        <f t="shared" si="22"/>
        <v>0</v>
      </c>
    </row>
    <row r="178" spans="2:15" x14ac:dyDescent="0.3">
      <c r="B178">
        <v>169</v>
      </c>
      <c r="C178" s="6"/>
      <c r="D178" s="6"/>
      <c r="E178" s="6"/>
      <c r="F178" s="6"/>
      <c r="G178" s="6"/>
      <c r="H178" s="23">
        <f t="shared" si="17"/>
        <v>500000</v>
      </c>
      <c r="J178">
        <v>168</v>
      </c>
      <c r="K178" s="4">
        <f t="shared" si="18"/>
        <v>0</v>
      </c>
      <c r="L178" s="4">
        <f t="shared" si="19"/>
        <v>0</v>
      </c>
      <c r="M178" s="4">
        <f t="shared" si="20"/>
        <v>0</v>
      </c>
      <c r="N178" s="4">
        <f t="shared" si="21"/>
        <v>0</v>
      </c>
      <c r="O178" s="4">
        <f t="shared" si="22"/>
        <v>0</v>
      </c>
    </row>
    <row r="179" spans="2:15" x14ac:dyDescent="0.3">
      <c r="B179">
        <v>170</v>
      </c>
      <c r="C179" s="6"/>
      <c r="D179" s="6"/>
      <c r="E179" s="6"/>
      <c r="F179" s="6"/>
      <c r="G179" s="6"/>
      <c r="H179" s="23">
        <f t="shared" si="17"/>
        <v>500000</v>
      </c>
      <c r="J179">
        <v>169</v>
      </c>
      <c r="K179" s="4">
        <f t="shared" si="18"/>
        <v>0</v>
      </c>
      <c r="L179" s="4">
        <f t="shared" si="19"/>
        <v>0</v>
      </c>
      <c r="M179" s="4">
        <f t="shared" si="20"/>
        <v>0</v>
      </c>
      <c r="N179" s="4">
        <f t="shared" si="21"/>
        <v>0</v>
      </c>
      <c r="O179" s="4">
        <f t="shared" si="22"/>
        <v>0</v>
      </c>
    </row>
    <row r="180" spans="2:15" x14ac:dyDescent="0.3">
      <c r="B180">
        <v>171</v>
      </c>
      <c r="C180" s="6"/>
      <c r="D180" s="6"/>
      <c r="E180" s="6"/>
      <c r="F180" s="6"/>
      <c r="G180" s="6"/>
      <c r="H180" s="23">
        <f t="shared" si="17"/>
        <v>500000</v>
      </c>
      <c r="J180">
        <v>170</v>
      </c>
      <c r="K180" s="4">
        <f t="shared" si="18"/>
        <v>0</v>
      </c>
      <c r="L180" s="4">
        <f t="shared" si="19"/>
        <v>0</v>
      </c>
      <c r="M180" s="4">
        <f t="shared" si="20"/>
        <v>0</v>
      </c>
      <c r="N180" s="4">
        <f t="shared" si="21"/>
        <v>0</v>
      </c>
      <c r="O180" s="4">
        <f t="shared" si="22"/>
        <v>0</v>
      </c>
    </row>
    <row r="181" spans="2:15" x14ac:dyDescent="0.3">
      <c r="B181">
        <v>172</v>
      </c>
      <c r="C181" s="6"/>
      <c r="D181" s="6"/>
      <c r="E181" s="6"/>
      <c r="F181" s="6"/>
      <c r="G181" s="6"/>
      <c r="H181" s="23">
        <f t="shared" si="17"/>
        <v>500000</v>
      </c>
      <c r="J181">
        <v>171</v>
      </c>
      <c r="K181" s="4">
        <f t="shared" si="18"/>
        <v>0</v>
      </c>
      <c r="L181" s="4">
        <f t="shared" si="19"/>
        <v>0</v>
      </c>
      <c r="M181" s="4">
        <f t="shared" si="20"/>
        <v>0</v>
      </c>
      <c r="N181" s="4">
        <f t="shared" si="21"/>
        <v>0</v>
      </c>
      <c r="O181" s="4">
        <f t="shared" si="22"/>
        <v>0</v>
      </c>
    </row>
    <row r="182" spans="2:15" x14ac:dyDescent="0.3">
      <c r="B182">
        <v>173</v>
      </c>
      <c r="C182" s="6"/>
      <c r="D182" s="6"/>
      <c r="E182" s="6"/>
      <c r="F182" s="6"/>
      <c r="G182" s="6"/>
      <c r="H182" s="23">
        <f t="shared" si="17"/>
        <v>500000</v>
      </c>
      <c r="J182">
        <v>172</v>
      </c>
      <c r="K182" s="4">
        <f t="shared" si="18"/>
        <v>0</v>
      </c>
      <c r="L182" s="4">
        <f t="shared" si="19"/>
        <v>0</v>
      </c>
      <c r="M182" s="4">
        <f t="shared" si="20"/>
        <v>0</v>
      </c>
      <c r="N182" s="4">
        <f t="shared" si="21"/>
        <v>0</v>
      </c>
      <c r="O182" s="4">
        <f t="shared" si="22"/>
        <v>0</v>
      </c>
    </row>
    <row r="183" spans="2:15" x14ac:dyDescent="0.3">
      <c r="B183">
        <v>174</v>
      </c>
      <c r="C183" s="6"/>
      <c r="D183" s="6"/>
      <c r="E183" s="6"/>
      <c r="F183" s="6"/>
      <c r="G183" s="6"/>
      <c r="H183" s="23">
        <f t="shared" si="17"/>
        <v>500000</v>
      </c>
      <c r="J183">
        <v>173</v>
      </c>
      <c r="K183" s="4">
        <f t="shared" si="18"/>
        <v>0</v>
      </c>
      <c r="L183" s="4">
        <f t="shared" si="19"/>
        <v>0</v>
      </c>
      <c r="M183" s="4">
        <f t="shared" si="20"/>
        <v>0</v>
      </c>
      <c r="N183" s="4">
        <f t="shared" si="21"/>
        <v>0</v>
      </c>
      <c r="O183" s="4">
        <f t="shared" si="22"/>
        <v>0</v>
      </c>
    </row>
    <row r="184" spans="2:15" x14ac:dyDescent="0.3">
      <c r="B184">
        <v>175</v>
      </c>
      <c r="C184" s="6"/>
      <c r="D184" s="6"/>
      <c r="E184" s="6"/>
      <c r="F184" s="6"/>
      <c r="G184" s="6"/>
      <c r="H184" s="23">
        <f t="shared" si="17"/>
        <v>500000</v>
      </c>
      <c r="J184">
        <v>174</v>
      </c>
      <c r="K184" s="4">
        <f t="shared" si="18"/>
        <v>0</v>
      </c>
      <c r="L184" s="4">
        <f t="shared" si="19"/>
        <v>0</v>
      </c>
      <c r="M184" s="4">
        <f t="shared" si="20"/>
        <v>0</v>
      </c>
      <c r="N184" s="4">
        <f t="shared" si="21"/>
        <v>0</v>
      </c>
      <c r="O184" s="4">
        <f t="shared" si="22"/>
        <v>0</v>
      </c>
    </row>
    <row r="185" spans="2:15" x14ac:dyDescent="0.3">
      <c r="B185">
        <v>176</v>
      </c>
      <c r="C185" s="6"/>
      <c r="D185" s="6"/>
      <c r="E185" s="6"/>
      <c r="F185" s="6"/>
      <c r="G185" s="6"/>
      <c r="H185" s="23">
        <f t="shared" si="17"/>
        <v>500000</v>
      </c>
      <c r="J185">
        <v>175</v>
      </c>
      <c r="K185" s="4">
        <f t="shared" si="18"/>
        <v>0</v>
      </c>
      <c r="L185" s="4">
        <f t="shared" si="19"/>
        <v>0</v>
      </c>
      <c r="M185" s="4">
        <f t="shared" si="20"/>
        <v>0</v>
      </c>
      <c r="N185" s="4">
        <f t="shared" si="21"/>
        <v>0</v>
      </c>
      <c r="O185" s="4">
        <f t="shared" si="22"/>
        <v>0</v>
      </c>
    </row>
    <row r="186" spans="2:15" x14ac:dyDescent="0.3">
      <c r="B186">
        <v>177</v>
      </c>
      <c r="C186" s="6"/>
      <c r="D186" s="6"/>
      <c r="E186" s="6"/>
      <c r="F186" s="6"/>
      <c r="G186" s="6"/>
      <c r="H186" s="23">
        <f t="shared" si="17"/>
        <v>500000</v>
      </c>
      <c r="J186">
        <v>176</v>
      </c>
      <c r="K186" s="4">
        <f t="shared" si="18"/>
        <v>0</v>
      </c>
      <c r="L186" s="4">
        <f t="shared" si="19"/>
        <v>0</v>
      </c>
      <c r="M186" s="4">
        <f t="shared" si="20"/>
        <v>0</v>
      </c>
      <c r="N186" s="4">
        <f t="shared" si="21"/>
        <v>0</v>
      </c>
      <c r="O186" s="4">
        <f t="shared" si="22"/>
        <v>0</v>
      </c>
    </row>
    <row r="187" spans="2:15" x14ac:dyDescent="0.3">
      <c r="B187">
        <v>178</v>
      </c>
      <c r="C187" s="6"/>
      <c r="D187" s="6"/>
      <c r="E187" s="6"/>
      <c r="F187" s="6"/>
      <c r="G187" s="6"/>
      <c r="H187" s="23">
        <f t="shared" si="17"/>
        <v>500000</v>
      </c>
      <c r="J187">
        <v>177</v>
      </c>
      <c r="K187" s="4">
        <f t="shared" si="18"/>
        <v>0</v>
      </c>
      <c r="L187" s="4">
        <f t="shared" si="19"/>
        <v>0</v>
      </c>
      <c r="M187" s="4">
        <f t="shared" si="20"/>
        <v>0</v>
      </c>
      <c r="N187" s="4">
        <f t="shared" si="21"/>
        <v>0</v>
      </c>
      <c r="O187" s="4">
        <f t="shared" si="22"/>
        <v>0</v>
      </c>
    </row>
    <row r="188" spans="2:15" x14ac:dyDescent="0.3">
      <c r="B188">
        <v>179</v>
      </c>
      <c r="C188" s="6"/>
      <c r="D188" s="6"/>
      <c r="E188" s="6"/>
      <c r="F188" s="6"/>
      <c r="G188" s="6"/>
      <c r="H188" s="23">
        <f t="shared" si="17"/>
        <v>500000</v>
      </c>
      <c r="J188">
        <v>178</v>
      </c>
      <c r="K188" s="4">
        <f t="shared" si="18"/>
        <v>0</v>
      </c>
      <c r="L188" s="4">
        <f t="shared" si="19"/>
        <v>0</v>
      </c>
      <c r="M188" s="4">
        <f t="shared" si="20"/>
        <v>0</v>
      </c>
      <c r="N188" s="4">
        <f t="shared" si="21"/>
        <v>0</v>
      </c>
      <c r="O188" s="4">
        <f t="shared" si="22"/>
        <v>0</v>
      </c>
    </row>
    <row r="189" spans="2:15" x14ac:dyDescent="0.3">
      <c r="B189">
        <v>180</v>
      </c>
      <c r="C189" s="6"/>
      <c r="D189" s="6"/>
      <c r="E189" s="6"/>
      <c r="F189" s="6"/>
      <c r="G189" s="6"/>
      <c r="H189" s="23">
        <f t="shared" si="17"/>
        <v>500000</v>
      </c>
      <c r="J189">
        <v>179</v>
      </c>
      <c r="K189" s="4">
        <f t="shared" si="18"/>
        <v>0</v>
      </c>
      <c r="L189" s="4">
        <f t="shared" si="19"/>
        <v>0</v>
      </c>
      <c r="M189" s="4">
        <f t="shared" si="20"/>
        <v>0</v>
      </c>
      <c r="N189" s="4">
        <f t="shared" si="21"/>
        <v>0</v>
      </c>
      <c r="O189" s="4">
        <f t="shared" si="22"/>
        <v>0</v>
      </c>
    </row>
    <row r="190" spans="2:15" x14ac:dyDescent="0.3">
      <c r="B190">
        <v>181</v>
      </c>
      <c r="C190" s="6"/>
      <c r="D190" s="6"/>
      <c r="E190" s="6"/>
      <c r="F190" s="6"/>
      <c r="G190" s="6"/>
      <c r="H190" s="23">
        <f t="shared" si="17"/>
        <v>500000</v>
      </c>
      <c r="J190">
        <v>180</v>
      </c>
      <c r="K190" s="4">
        <f t="shared" si="18"/>
        <v>0</v>
      </c>
      <c r="L190" s="4">
        <f t="shared" si="19"/>
        <v>0</v>
      </c>
      <c r="M190" s="4">
        <f t="shared" si="20"/>
        <v>0</v>
      </c>
      <c r="N190" s="4">
        <f t="shared" si="21"/>
        <v>0</v>
      </c>
      <c r="O190" s="4">
        <f t="shared" si="22"/>
        <v>0</v>
      </c>
    </row>
    <row r="191" spans="2:15" x14ac:dyDescent="0.3">
      <c r="B191">
        <v>182</v>
      </c>
      <c r="C191" s="6"/>
      <c r="D191" s="6"/>
      <c r="E191" s="6"/>
      <c r="F191" s="6"/>
      <c r="G191" s="6"/>
      <c r="H191" s="23">
        <f t="shared" si="17"/>
        <v>500000</v>
      </c>
      <c r="J191">
        <v>181</v>
      </c>
      <c r="K191" s="4">
        <f t="shared" si="18"/>
        <v>0</v>
      </c>
      <c r="L191" s="4">
        <f t="shared" si="19"/>
        <v>0</v>
      </c>
      <c r="M191" s="4">
        <f t="shared" si="20"/>
        <v>0</v>
      </c>
      <c r="N191" s="4">
        <f t="shared" si="21"/>
        <v>0</v>
      </c>
      <c r="O191" s="4">
        <f t="shared" si="22"/>
        <v>0</v>
      </c>
    </row>
    <row r="192" spans="2:15" x14ac:dyDescent="0.3">
      <c r="B192">
        <v>183</v>
      </c>
      <c r="C192" s="6"/>
      <c r="D192" s="6"/>
      <c r="E192" s="6"/>
      <c r="F192" s="6"/>
      <c r="G192" s="6"/>
      <c r="H192" s="23">
        <f t="shared" si="17"/>
        <v>500000</v>
      </c>
      <c r="J192">
        <v>182</v>
      </c>
      <c r="K192" s="4">
        <f t="shared" si="18"/>
        <v>0</v>
      </c>
      <c r="L192" s="4">
        <f t="shared" si="19"/>
        <v>0</v>
      </c>
      <c r="M192" s="4">
        <f t="shared" si="20"/>
        <v>0</v>
      </c>
      <c r="N192" s="4">
        <f t="shared" si="21"/>
        <v>0</v>
      </c>
      <c r="O192" s="4">
        <f t="shared" si="22"/>
        <v>0</v>
      </c>
    </row>
    <row r="193" spans="2:15" x14ac:dyDescent="0.3">
      <c r="B193">
        <v>184</v>
      </c>
      <c r="C193" s="6"/>
      <c r="D193" s="6"/>
      <c r="E193" s="6"/>
      <c r="F193" s="6"/>
      <c r="G193" s="6"/>
      <c r="H193" s="23">
        <f t="shared" si="17"/>
        <v>500000</v>
      </c>
      <c r="J193">
        <v>183</v>
      </c>
      <c r="K193" s="4">
        <f t="shared" si="18"/>
        <v>0</v>
      </c>
      <c r="L193" s="4">
        <f t="shared" si="19"/>
        <v>0</v>
      </c>
      <c r="M193" s="4">
        <f t="shared" si="20"/>
        <v>0</v>
      </c>
      <c r="N193" s="4">
        <f t="shared" si="21"/>
        <v>0</v>
      </c>
      <c r="O193" s="4">
        <f t="shared" si="22"/>
        <v>0</v>
      </c>
    </row>
    <row r="194" spans="2:15" x14ac:dyDescent="0.3">
      <c r="B194">
        <v>185</v>
      </c>
      <c r="C194" s="6"/>
      <c r="D194" s="6"/>
      <c r="E194" s="6"/>
      <c r="F194" s="6"/>
      <c r="G194" s="6"/>
      <c r="H194" s="23">
        <f t="shared" si="17"/>
        <v>500000</v>
      </c>
      <c r="J194">
        <v>184</v>
      </c>
      <c r="K194" s="4">
        <f t="shared" si="18"/>
        <v>0</v>
      </c>
      <c r="L194" s="4">
        <f t="shared" si="19"/>
        <v>0</v>
      </c>
      <c r="M194" s="4">
        <f t="shared" si="20"/>
        <v>0</v>
      </c>
      <c r="N194" s="4">
        <f t="shared" si="21"/>
        <v>0</v>
      </c>
      <c r="O194" s="4">
        <f t="shared" si="22"/>
        <v>0</v>
      </c>
    </row>
    <row r="195" spans="2:15" x14ac:dyDescent="0.3">
      <c r="B195">
        <v>186</v>
      </c>
      <c r="C195" s="6"/>
      <c r="D195" s="6"/>
      <c r="E195" s="6"/>
      <c r="F195" s="6"/>
      <c r="G195" s="6"/>
      <c r="H195" s="23">
        <f t="shared" si="17"/>
        <v>500000</v>
      </c>
      <c r="J195">
        <v>185</v>
      </c>
      <c r="K195" s="4">
        <f t="shared" si="18"/>
        <v>0</v>
      </c>
      <c r="L195" s="4">
        <f t="shared" si="19"/>
        <v>0</v>
      </c>
      <c r="M195" s="4">
        <f t="shared" si="20"/>
        <v>0</v>
      </c>
      <c r="N195" s="4">
        <f t="shared" si="21"/>
        <v>0</v>
      </c>
      <c r="O195" s="4">
        <f t="shared" si="22"/>
        <v>0</v>
      </c>
    </row>
    <row r="196" spans="2:15" x14ac:dyDescent="0.3">
      <c r="B196">
        <v>187</v>
      </c>
      <c r="C196" s="6"/>
      <c r="D196" s="6"/>
      <c r="E196" s="6"/>
      <c r="F196" s="6"/>
      <c r="G196" s="6"/>
      <c r="H196" s="23">
        <f t="shared" si="17"/>
        <v>500000</v>
      </c>
      <c r="J196">
        <v>186</v>
      </c>
      <c r="K196" s="4">
        <f t="shared" si="18"/>
        <v>0</v>
      </c>
      <c r="L196" s="4">
        <f t="shared" si="19"/>
        <v>0</v>
      </c>
      <c r="M196" s="4">
        <f t="shared" si="20"/>
        <v>0</v>
      </c>
      <c r="N196" s="4">
        <f t="shared" si="21"/>
        <v>0</v>
      </c>
      <c r="O196" s="4">
        <f t="shared" si="22"/>
        <v>0</v>
      </c>
    </row>
    <row r="197" spans="2:15" x14ac:dyDescent="0.3">
      <c r="B197">
        <v>188</v>
      </c>
      <c r="C197" s="6"/>
      <c r="D197" s="6"/>
      <c r="E197" s="6"/>
      <c r="F197" s="6"/>
      <c r="G197" s="6"/>
      <c r="H197" s="23">
        <f t="shared" si="17"/>
        <v>500000</v>
      </c>
      <c r="J197">
        <v>187</v>
      </c>
      <c r="K197" s="4">
        <f t="shared" si="18"/>
        <v>0</v>
      </c>
      <c r="L197" s="4">
        <f t="shared" si="19"/>
        <v>0</v>
      </c>
      <c r="M197" s="4">
        <f t="shared" si="20"/>
        <v>0</v>
      </c>
      <c r="N197" s="4">
        <f t="shared" si="21"/>
        <v>0</v>
      </c>
      <c r="O197" s="4">
        <f t="shared" si="22"/>
        <v>0</v>
      </c>
    </row>
    <row r="198" spans="2:15" x14ac:dyDescent="0.3">
      <c r="B198">
        <v>189</v>
      </c>
      <c r="C198" s="6"/>
      <c r="D198" s="6"/>
      <c r="E198" s="6"/>
      <c r="F198" s="6"/>
      <c r="G198" s="6"/>
      <c r="H198" s="23">
        <f t="shared" ref="H198:H261" si="23">F198+H197</f>
        <v>500000</v>
      </c>
      <c r="J198">
        <v>188</v>
      </c>
      <c r="K198" s="4">
        <f t="shared" si="18"/>
        <v>0</v>
      </c>
      <c r="L198" s="4">
        <f t="shared" si="19"/>
        <v>0</v>
      </c>
      <c r="M198" s="4">
        <f t="shared" si="20"/>
        <v>0</v>
      </c>
      <c r="N198" s="4">
        <f t="shared" si="21"/>
        <v>0</v>
      </c>
      <c r="O198" s="4">
        <f t="shared" si="22"/>
        <v>0</v>
      </c>
    </row>
    <row r="199" spans="2:15" x14ac:dyDescent="0.3">
      <c r="B199">
        <v>190</v>
      </c>
      <c r="C199" s="6"/>
      <c r="D199" s="6"/>
      <c r="E199" s="6"/>
      <c r="F199" s="6"/>
      <c r="G199" s="6"/>
      <c r="H199" s="23">
        <f t="shared" si="23"/>
        <v>500000</v>
      </c>
      <c r="J199">
        <v>189</v>
      </c>
      <c r="K199" s="4">
        <f t="shared" si="18"/>
        <v>0</v>
      </c>
      <c r="L199" s="4">
        <f t="shared" si="19"/>
        <v>0</v>
      </c>
      <c r="M199" s="4">
        <f t="shared" si="20"/>
        <v>0</v>
      </c>
      <c r="N199" s="4">
        <f t="shared" si="21"/>
        <v>0</v>
      </c>
      <c r="O199" s="4">
        <f t="shared" si="22"/>
        <v>0</v>
      </c>
    </row>
    <row r="200" spans="2:15" x14ac:dyDescent="0.3">
      <c r="B200">
        <v>191</v>
      </c>
      <c r="C200" s="6"/>
      <c r="D200" s="6"/>
      <c r="E200" s="6"/>
      <c r="F200" s="6"/>
      <c r="G200" s="6"/>
      <c r="H200" s="23">
        <f t="shared" si="23"/>
        <v>500000</v>
      </c>
      <c r="J200">
        <v>190</v>
      </c>
      <c r="K200" s="4">
        <f t="shared" si="18"/>
        <v>0</v>
      </c>
      <c r="L200" s="4">
        <f t="shared" si="19"/>
        <v>0</v>
      </c>
      <c r="M200" s="4">
        <f t="shared" si="20"/>
        <v>0</v>
      </c>
      <c r="N200" s="4">
        <f t="shared" si="21"/>
        <v>0</v>
      </c>
      <c r="O200" s="4">
        <f t="shared" si="22"/>
        <v>0</v>
      </c>
    </row>
    <row r="201" spans="2:15" x14ac:dyDescent="0.3">
      <c r="B201">
        <v>192</v>
      </c>
      <c r="C201" s="6"/>
      <c r="D201" s="6"/>
      <c r="E201" s="6"/>
      <c r="F201" s="6"/>
      <c r="G201" s="6"/>
      <c r="H201" s="23">
        <f t="shared" si="23"/>
        <v>500000</v>
      </c>
      <c r="J201">
        <v>191</v>
      </c>
      <c r="K201" s="4">
        <f t="shared" si="18"/>
        <v>0</v>
      </c>
      <c r="L201" s="4">
        <f t="shared" si="19"/>
        <v>0</v>
      </c>
      <c r="M201" s="4">
        <f t="shared" si="20"/>
        <v>0</v>
      </c>
      <c r="N201" s="4">
        <f t="shared" si="21"/>
        <v>0</v>
      </c>
      <c r="O201" s="4">
        <f t="shared" si="22"/>
        <v>0</v>
      </c>
    </row>
    <row r="202" spans="2:15" x14ac:dyDescent="0.3">
      <c r="B202">
        <v>193</v>
      </c>
      <c r="C202" s="6"/>
      <c r="D202" s="6"/>
      <c r="E202" s="6"/>
      <c r="F202" s="6"/>
      <c r="G202" s="6"/>
      <c r="H202" s="23">
        <f t="shared" si="23"/>
        <v>500000</v>
      </c>
      <c r="J202">
        <v>192</v>
      </c>
      <c r="K202" s="4">
        <f t="shared" si="18"/>
        <v>0</v>
      </c>
      <c r="L202" s="4">
        <f t="shared" si="19"/>
        <v>0</v>
      </c>
      <c r="M202" s="4">
        <f t="shared" si="20"/>
        <v>0</v>
      </c>
      <c r="N202" s="4">
        <f t="shared" si="21"/>
        <v>0</v>
      </c>
      <c r="O202" s="4">
        <f t="shared" si="22"/>
        <v>0</v>
      </c>
    </row>
    <row r="203" spans="2:15" x14ac:dyDescent="0.3">
      <c r="B203">
        <v>194</v>
      </c>
      <c r="C203" s="6"/>
      <c r="D203" s="6"/>
      <c r="E203" s="6"/>
      <c r="F203" s="6"/>
      <c r="G203" s="6"/>
      <c r="H203" s="23">
        <f t="shared" si="23"/>
        <v>500000</v>
      </c>
      <c r="J203">
        <v>193</v>
      </c>
      <c r="K203" s="4">
        <f t="shared" si="18"/>
        <v>0</v>
      </c>
      <c r="L203" s="4">
        <f t="shared" si="19"/>
        <v>0</v>
      </c>
      <c r="M203" s="4">
        <f t="shared" si="20"/>
        <v>0</v>
      </c>
      <c r="N203" s="4">
        <f t="shared" si="21"/>
        <v>0</v>
      </c>
      <c r="O203" s="4">
        <f t="shared" si="22"/>
        <v>0</v>
      </c>
    </row>
    <row r="204" spans="2:15" x14ac:dyDescent="0.3">
      <c r="B204">
        <v>195</v>
      </c>
      <c r="C204" s="6"/>
      <c r="D204" s="6"/>
      <c r="E204" s="6"/>
      <c r="F204" s="6"/>
      <c r="G204" s="6"/>
      <c r="H204" s="23">
        <f t="shared" si="23"/>
        <v>500000</v>
      </c>
      <c r="J204">
        <v>194</v>
      </c>
      <c r="K204" s="4">
        <f t="shared" ref="K204:K267" si="24">IF(J204&gt;($M$3+$F$3),L204+M204,$C$5)</f>
        <v>0</v>
      </c>
      <c r="L204" s="4">
        <f t="shared" ref="L204:L267" si="25">O203*$C$3</f>
        <v>0</v>
      </c>
      <c r="M204" s="4">
        <f t="shared" ref="M204:M267" si="26">IF(J204&lt;($M$3+$F$3),K204-L204,O203)</f>
        <v>0</v>
      </c>
      <c r="N204" s="4">
        <f t="shared" ref="N204:N267" si="27">IF(B203=$F$3,$F$2,0)</f>
        <v>0</v>
      </c>
      <c r="O204" s="4">
        <f t="shared" ref="O204:O267" si="28">O203-M204-N204</f>
        <v>0</v>
      </c>
    </row>
    <row r="205" spans="2:15" x14ac:dyDescent="0.3">
      <c r="B205">
        <v>196</v>
      </c>
      <c r="C205" s="6"/>
      <c r="D205" s="6"/>
      <c r="E205" s="6"/>
      <c r="F205" s="6"/>
      <c r="G205" s="6"/>
      <c r="H205" s="23">
        <f t="shared" si="23"/>
        <v>500000</v>
      </c>
      <c r="J205">
        <v>195</v>
      </c>
      <c r="K205" s="4">
        <f t="shared" si="24"/>
        <v>0</v>
      </c>
      <c r="L205" s="4">
        <f t="shared" si="25"/>
        <v>0</v>
      </c>
      <c r="M205" s="4">
        <f t="shared" si="26"/>
        <v>0</v>
      </c>
      <c r="N205" s="4">
        <f t="shared" si="27"/>
        <v>0</v>
      </c>
      <c r="O205" s="4">
        <f t="shared" si="28"/>
        <v>0</v>
      </c>
    </row>
    <row r="206" spans="2:15" x14ac:dyDescent="0.3">
      <c r="B206">
        <v>197</v>
      </c>
      <c r="C206" s="6"/>
      <c r="D206" s="6"/>
      <c r="E206" s="6"/>
      <c r="F206" s="6"/>
      <c r="G206" s="6"/>
      <c r="H206" s="23">
        <f t="shared" si="23"/>
        <v>500000</v>
      </c>
      <c r="J206">
        <v>196</v>
      </c>
      <c r="K206" s="4">
        <f t="shared" si="24"/>
        <v>0</v>
      </c>
      <c r="L206" s="4">
        <f t="shared" si="25"/>
        <v>0</v>
      </c>
      <c r="M206" s="4">
        <f t="shared" si="26"/>
        <v>0</v>
      </c>
      <c r="N206" s="4">
        <f t="shared" si="27"/>
        <v>0</v>
      </c>
      <c r="O206" s="4">
        <f t="shared" si="28"/>
        <v>0</v>
      </c>
    </row>
    <row r="207" spans="2:15" x14ac:dyDescent="0.3">
      <c r="B207">
        <v>198</v>
      </c>
      <c r="C207" s="6"/>
      <c r="D207" s="6"/>
      <c r="E207" s="6"/>
      <c r="F207" s="6"/>
      <c r="G207" s="6"/>
      <c r="H207" s="23">
        <f t="shared" si="23"/>
        <v>500000</v>
      </c>
      <c r="J207">
        <v>197</v>
      </c>
      <c r="K207" s="4">
        <f t="shared" si="24"/>
        <v>0</v>
      </c>
      <c r="L207" s="4">
        <f t="shared" si="25"/>
        <v>0</v>
      </c>
      <c r="M207" s="4">
        <f t="shared" si="26"/>
        <v>0</v>
      </c>
      <c r="N207" s="4">
        <f t="shared" si="27"/>
        <v>0</v>
      </c>
      <c r="O207" s="4">
        <f t="shared" si="28"/>
        <v>0</v>
      </c>
    </row>
    <row r="208" spans="2:15" x14ac:dyDescent="0.3">
      <c r="B208">
        <v>199</v>
      </c>
      <c r="C208" s="6"/>
      <c r="D208" s="6"/>
      <c r="E208" s="6"/>
      <c r="F208" s="6"/>
      <c r="G208" s="6"/>
      <c r="H208" s="23">
        <f t="shared" si="23"/>
        <v>500000</v>
      </c>
      <c r="J208">
        <v>198</v>
      </c>
      <c r="K208" s="4">
        <f t="shared" si="24"/>
        <v>0</v>
      </c>
      <c r="L208" s="4">
        <f t="shared" si="25"/>
        <v>0</v>
      </c>
      <c r="M208" s="4">
        <f t="shared" si="26"/>
        <v>0</v>
      </c>
      <c r="N208" s="4">
        <f t="shared" si="27"/>
        <v>0</v>
      </c>
      <c r="O208" s="4">
        <f t="shared" si="28"/>
        <v>0</v>
      </c>
    </row>
    <row r="209" spans="2:15" x14ac:dyDescent="0.3">
      <c r="B209">
        <v>200</v>
      </c>
      <c r="C209" s="6"/>
      <c r="D209" s="6"/>
      <c r="E209" s="6"/>
      <c r="F209" s="6"/>
      <c r="G209" s="6"/>
      <c r="H209" s="23">
        <f t="shared" si="23"/>
        <v>500000</v>
      </c>
      <c r="J209">
        <v>199</v>
      </c>
      <c r="K209" s="4">
        <f t="shared" si="24"/>
        <v>0</v>
      </c>
      <c r="L209" s="4">
        <f t="shared" si="25"/>
        <v>0</v>
      </c>
      <c r="M209" s="4">
        <f t="shared" si="26"/>
        <v>0</v>
      </c>
      <c r="N209" s="4">
        <f t="shared" si="27"/>
        <v>0</v>
      </c>
      <c r="O209" s="4">
        <f t="shared" si="28"/>
        <v>0</v>
      </c>
    </row>
    <row r="210" spans="2:15" x14ac:dyDescent="0.3">
      <c r="B210">
        <v>201</v>
      </c>
      <c r="C210" s="6"/>
      <c r="D210" s="6"/>
      <c r="E210" s="6"/>
      <c r="F210" s="6"/>
      <c r="G210" s="6"/>
      <c r="H210" s="23">
        <f t="shared" si="23"/>
        <v>500000</v>
      </c>
      <c r="J210">
        <v>200</v>
      </c>
      <c r="K210" s="4">
        <f t="shared" si="24"/>
        <v>0</v>
      </c>
      <c r="L210" s="4">
        <f t="shared" si="25"/>
        <v>0</v>
      </c>
      <c r="M210" s="4">
        <f t="shared" si="26"/>
        <v>0</v>
      </c>
      <c r="N210" s="4">
        <f t="shared" si="27"/>
        <v>0</v>
      </c>
      <c r="O210" s="4">
        <f t="shared" si="28"/>
        <v>0</v>
      </c>
    </row>
    <row r="211" spans="2:15" x14ac:dyDescent="0.3">
      <c r="B211">
        <v>202</v>
      </c>
      <c r="C211" s="6"/>
      <c r="D211" s="6"/>
      <c r="E211" s="6"/>
      <c r="F211" s="6"/>
      <c r="G211" s="6"/>
      <c r="H211" s="23">
        <f t="shared" si="23"/>
        <v>500000</v>
      </c>
      <c r="J211">
        <v>201</v>
      </c>
      <c r="K211" s="4">
        <f t="shared" si="24"/>
        <v>0</v>
      </c>
      <c r="L211" s="4">
        <f t="shared" si="25"/>
        <v>0</v>
      </c>
      <c r="M211" s="4">
        <f t="shared" si="26"/>
        <v>0</v>
      </c>
      <c r="N211" s="4">
        <f t="shared" si="27"/>
        <v>0</v>
      </c>
      <c r="O211" s="4">
        <f t="shared" si="28"/>
        <v>0</v>
      </c>
    </row>
    <row r="212" spans="2:15" x14ac:dyDescent="0.3">
      <c r="B212">
        <v>203</v>
      </c>
      <c r="C212" s="6"/>
      <c r="D212" s="6"/>
      <c r="E212" s="6"/>
      <c r="F212" s="6"/>
      <c r="G212" s="6"/>
      <c r="H212" s="23">
        <f t="shared" si="23"/>
        <v>500000</v>
      </c>
      <c r="J212">
        <v>202</v>
      </c>
      <c r="K212" s="4">
        <f t="shared" si="24"/>
        <v>0</v>
      </c>
      <c r="L212" s="4">
        <f t="shared" si="25"/>
        <v>0</v>
      </c>
      <c r="M212" s="4">
        <f t="shared" si="26"/>
        <v>0</v>
      </c>
      <c r="N212" s="4">
        <f t="shared" si="27"/>
        <v>0</v>
      </c>
      <c r="O212" s="4">
        <f t="shared" si="28"/>
        <v>0</v>
      </c>
    </row>
    <row r="213" spans="2:15" x14ac:dyDescent="0.3">
      <c r="B213">
        <v>204</v>
      </c>
      <c r="C213" s="6"/>
      <c r="D213" s="6"/>
      <c r="E213" s="6"/>
      <c r="F213" s="6"/>
      <c r="G213" s="6"/>
      <c r="H213" s="23">
        <f t="shared" si="23"/>
        <v>500000</v>
      </c>
      <c r="J213">
        <v>203</v>
      </c>
      <c r="K213" s="4">
        <f t="shared" si="24"/>
        <v>0</v>
      </c>
      <c r="L213" s="4">
        <f t="shared" si="25"/>
        <v>0</v>
      </c>
      <c r="M213" s="4">
        <f t="shared" si="26"/>
        <v>0</v>
      </c>
      <c r="N213" s="4">
        <f t="shared" si="27"/>
        <v>0</v>
      </c>
      <c r="O213" s="4">
        <f t="shared" si="28"/>
        <v>0</v>
      </c>
    </row>
    <row r="214" spans="2:15" x14ac:dyDescent="0.3">
      <c r="B214">
        <v>205</v>
      </c>
      <c r="C214" s="6"/>
      <c r="D214" s="6"/>
      <c r="E214" s="6"/>
      <c r="F214" s="6"/>
      <c r="G214" s="6"/>
      <c r="H214" s="23">
        <f t="shared" si="23"/>
        <v>500000</v>
      </c>
      <c r="J214">
        <v>204</v>
      </c>
      <c r="K214" s="4">
        <f t="shared" si="24"/>
        <v>0</v>
      </c>
      <c r="L214" s="4">
        <f t="shared" si="25"/>
        <v>0</v>
      </c>
      <c r="M214" s="4">
        <f t="shared" si="26"/>
        <v>0</v>
      </c>
      <c r="N214" s="4">
        <f t="shared" si="27"/>
        <v>0</v>
      </c>
      <c r="O214" s="4">
        <f t="shared" si="28"/>
        <v>0</v>
      </c>
    </row>
    <row r="215" spans="2:15" x14ac:dyDescent="0.3">
      <c r="B215">
        <v>206</v>
      </c>
      <c r="C215" s="6"/>
      <c r="D215" s="6"/>
      <c r="E215" s="6"/>
      <c r="F215" s="6"/>
      <c r="G215" s="6"/>
      <c r="H215" s="23">
        <f t="shared" si="23"/>
        <v>500000</v>
      </c>
      <c r="J215">
        <v>205</v>
      </c>
      <c r="K215" s="4">
        <f t="shared" si="24"/>
        <v>0</v>
      </c>
      <c r="L215" s="4">
        <f t="shared" si="25"/>
        <v>0</v>
      </c>
      <c r="M215" s="4">
        <f t="shared" si="26"/>
        <v>0</v>
      </c>
      <c r="N215" s="4">
        <f t="shared" si="27"/>
        <v>0</v>
      </c>
      <c r="O215" s="4">
        <f t="shared" si="28"/>
        <v>0</v>
      </c>
    </row>
    <row r="216" spans="2:15" x14ac:dyDescent="0.3">
      <c r="B216">
        <v>207</v>
      </c>
      <c r="C216" s="6"/>
      <c r="D216" s="6"/>
      <c r="E216" s="6"/>
      <c r="F216" s="6"/>
      <c r="G216" s="6"/>
      <c r="H216" s="23">
        <f t="shared" si="23"/>
        <v>500000</v>
      </c>
      <c r="J216">
        <v>206</v>
      </c>
      <c r="K216" s="4">
        <f t="shared" si="24"/>
        <v>0</v>
      </c>
      <c r="L216" s="4">
        <f t="shared" si="25"/>
        <v>0</v>
      </c>
      <c r="M216" s="4">
        <f t="shared" si="26"/>
        <v>0</v>
      </c>
      <c r="N216" s="4">
        <f t="shared" si="27"/>
        <v>0</v>
      </c>
      <c r="O216" s="4">
        <f t="shared" si="28"/>
        <v>0</v>
      </c>
    </row>
    <row r="217" spans="2:15" x14ac:dyDescent="0.3">
      <c r="B217">
        <v>208</v>
      </c>
      <c r="C217" s="6"/>
      <c r="D217" s="6"/>
      <c r="E217" s="6"/>
      <c r="F217" s="6"/>
      <c r="G217" s="6"/>
      <c r="H217" s="23">
        <f t="shared" si="23"/>
        <v>500000</v>
      </c>
      <c r="J217">
        <v>207</v>
      </c>
      <c r="K217" s="4">
        <f t="shared" si="24"/>
        <v>0</v>
      </c>
      <c r="L217" s="4">
        <f t="shared" si="25"/>
        <v>0</v>
      </c>
      <c r="M217" s="4">
        <f t="shared" si="26"/>
        <v>0</v>
      </c>
      <c r="N217" s="4">
        <f t="shared" si="27"/>
        <v>0</v>
      </c>
      <c r="O217" s="4">
        <f t="shared" si="28"/>
        <v>0</v>
      </c>
    </row>
    <row r="218" spans="2:15" x14ac:dyDescent="0.3">
      <c r="B218">
        <v>209</v>
      </c>
      <c r="C218" s="6"/>
      <c r="D218" s="6"/>
      <c r="E218" s="6"/>
      <c r="F218" s="6"/>
      <c r="G218" s="6"/>
      <c r="H218" s="23">
        <f t="shared" si="23"/>
        <v>500000</v>
      </c>
      <c r="J218">
        <v>208</v>
      </c>
      <c r="K218" s="4">
        <f t="shared" si="24"/>
        <v>0</v>
      </c>
      <c r="L218" s="4">
        <f t="shared" si="25"/>
        <v>0</v>
      </c>
      <c r="M218" s="4">
        <f t="shared" si="26"/>
        <v>0</v>
      </c>
      <c r="N218" s="4">
        <f t="shared" si="27"/>
        <v>0</v>
      </c>
      <c r="O218" s="4">
        <f t="shared" si="28"/>
        <v>0</v>
      </c>
    </row>
    <row r="219" spans="2:15" x14ac:dyDescent="0.3">
      <c r="B219">
        <v>210</v>
      </c>
      <c r="C219" s="6"/>
      <c r="D219" s="6"/>
      <c r="E219" s="6"/>
      <c r="F219" s="6"/>
      <c r="G219" s="6"/>
      <c r="H219" s="23">
        <f t="shared" si="23"/>
        <v>500000</v>
      </c>
      <c r="J219">
        <v>209</v>
      </c>
      <c r="K219" s="4">
        <f t="shared" si="24"/>
        <v>0</v>
      </c>
      <c r="L219" s="4">
        <f t="shared" si="25"/>
        <v>0</v>
      </c>
      <c r="M219" s="4">
        <f t="shared" si="26"/>
        <v>0</v>
      </c>
      <c r="N219" s="4">
        <f t="shared" si="27"/>
        <v>0</v>
      </c>
      <c r="O219" s="4">
        <f t="shared" si="28"/>
        <v>0</v>
      </c>
    </row>
    <row r="220" spans="2:15" x14ac:dyDescent="0.3">
      <c r="B220">
        <v>211</v>
      </c>
      <c r="C220" s="6"/>
      <c r="D220" s="6"/>
      <c r="E220" s="6"/>
      <c r="F220" s="6"/>
      <c r="G220" s="6"/>
      <c r="H220" s="23">
        <f t="shared" si="23"/>
        <v>500000</v>
      </c>
      <c r="J220">
        <v>210</v>
      </c>
      <c r="K220" s="4">
        <f t="shared" si="24"/>
        <v>0</v>
      </c>
      <c r="L220" s="4">
        <f t="shared" si="25"/>
        <v>0</v>
      </c>
      <c r="M220" s="4">
        <f t="shared" si="26"/>
        <v>0</v>
      </c>
      <c r="N220" s="4">
        <f t="shared" si="27"/>
        <v>0</v>
      </c>
      <c r="O220" s="4">
        <f t="shared" si="28"/>
        <v>0</v>
      </c>
    </row>
    <row r="221" spans="2:15" x14ac:dyDescent="0.3">
      <c r="B221">
        <v>212</v>
      </c>
      <c r="C221" s="6"/>
      <c r="D221" s="6"/>
      <c r="E221" s="6"/>
      <c r="F221" s="6"/>
      <c r="G221" s="6"/>
      <c r="H221" s="23">
        <f t="shared" si="23"/>
        <v>500000</v>
      </c>
      <c r="J221">
        <v>211</v>
      </c>
      <c r="K221" s="4">
        <f t="shared" si="24"/>
        <v>0</v>
      </c>
      <c r="L221" s="4">
        <f t="shared" si="25"/>
        <v>0</v>
      </c>
      <c r="M221" s="4">
        <f t="shared" si="26"/>
        <v>0</v>
      </c>
      <c r="N221" s="4">
        <f t="shared" si="27"/>
        <v>0</v>
      </c>
      <c r="O221" s="4">
        <f t="shared" si="28"/>
        <v>0</v>
      </c>
    </row>
    <row r="222" spans="2:15" x14ac:dyDescent="0.3">
      <c r="B222">
        <v>213</v>
      </c>
      <c r="C222" s="6"/>
      <c r="D222" s="6"/>
      <c r="E222" s="6"/>
      <c r="F222" s="6"/>
      <c r="G222" s="6"/>
      <c r="H222" s="23">
        <f t="shared" si="23"/>
        <v>500000</v>
      </c>
      <c r="J222">
        <v>212</v>
      </c>
      <c r="K222" s="4">
        <f t="shared" si="24"/>
        <v>0</v>
      </c>
      <c r="L222" s="4">
        <f t="shared" si="25"/>
        <v>0</v>
      </c>
      <c r="M222" s="4">
        <f t="shared" si="26"/>
        <v>0</v>
      </c>
      <c r="N222" s="4">
        <f t="shared" si="27"/>
        <v>0</v>
      </c>
      <c r="O222" s="4">
        <f t="shared" si="28"/>
        <v>0</v>
      </c>
    </row>
    <row r="223" spans="2:15" x14ac:dyDescent="0.3">
      <c r="B223">
        <v>214</v>
      </c>
      <c r="C223" s="6"/>
      <c r="D223" s="6"/>
      <c r="E223" s="6"/>
      <c r="F223" s="6"/>
      <c r="G223" s="6"/>
      <c r="H223" s="23">
        <f t="shared" si="23"/>
        <v>500000</v>
      </c>
      <c r="J223">
        <v>213</v>
      </c>
      <c r="K223" s="4">
        <f t="shared" si="24"/>
        <v>0</v>
      </c>
      <c r="L223" s="4">
        <f t="shared" si="25"/>
        <v>0</v>
      </c>
      <c r="M223" s="4">
        <f t="shared" si="26"/>
        <v>0</v>
      </c>
      <c r="N223" s="4">
        <f t="shared" si="27"/>
        <v>0</v>
      </c>
      <c r="O223" s="4">
        <f t="shared" si="28"/>
        <v>0</v>
      </c>
    </row>
    <row r="224" spans="2:15" x14ac:dyDescent="0.3">
      <c r="B224">
        <v>215</v>
      </c>
      <c r="C224" s="6"/>
      <c r="D224" s="6"/>
      <c r="E224" s="6"/>
      <c r="F224" s="6"/>
      <c r="G224" s="6"/>
      <c r="H224" s="23">
        <f t="shared" si="23"/>
        <v>500000</v>
      </c>
      <c r="J224">
        <v>214</v>
      </c>
      <c r="K224" s="4">
        <f t="shared" si="24"/>
        <v>0</v>
      </c>
      <c r="L224" s="4">
        <f t="shared" si="25"/>
        <v>0</v>
      </c>
      <c r="M224" s="4">
        <f t="shared" si="26"/>
        <v>0</v>
      </c>
      <c r="N224" s="4">
        <f t="shared" si="27"/>
        <v>0</v>
      </c>
      <c r="O224" s="4">
        <f t="shared" si="28"/>
        <v>0</v>
      </c>
    </row>
    <row r="225" spans="2:15" x14ac:dyDescent="0.3">
      <c r="B225">
        <v>216</v>
      </c>
      <c r="C225" s="6"/>
      <c r="D225" s="6"/>
      <c r="E225" s="6"/>
      <c r="F225" s="6"/>
      <c r="G225" s="6"/>
      <c r="H225" s="23">
        <f t="shared" si="23"/>
        <v>500000</v>
      </c>
      <c r="J225">
        <v>215</v>
      </c>
      <c r="K225" s="4">
        <f t="shared" si="24"/>
        <v>0</v>
      </c>
      <c r="L225" s="4">
        <f t="shared" si="25"/>
        <v>0</v>
      </c>
      <c r="M225" s="4">
        <f t="shared" si="26"/>
        <v>0</v>
      </c>
      <c r="N225" s="4">
        <f t="shared" si="27"/>
        <v>0</v>
      </c>
      <c r="O225" s="4">
        <f t="shared" si="28"/>
        <v>0</v>
      </c>
    </row>
    <row r="226" spans="2:15" x14ac:dyDescent="0.3">
      <c r="B226">
        <v>217</v>
      </c>
      <c r="C226" s="6"/>
      <c r="D226" s="6"/>
      <c r="E226" s="6"/>
      <c r="F226" s="6"/>
      <c r="G226" s="6"/>
      <c r="H226" s="23">
        <f t="shared" si="23"/>
        <v>500000</v>
      </c>
      <c r="J226">
        <v>216</v>
      </c>
      <c r="K226" s="4">
        <f t="shared" si="24"/>
        <v>0</v>
      </c>
      <c r="L226" s="4">
        <f t="shared" si="25"/>
        <v>0</v>
      </c>
      <c r="M226" s="4">
        <f t="shared" si="26"/>
        <v>0</v>
      </c>
      <c r="N226" s="4">
        <f t="shared" si="27"/>
        <v>0</v>
      </c>
      <c r="O226" s="4">
        <f t="shared" si="28"/>
        <v>0</v>
      </c>
    </row>
    <row r="227" spans="2:15" x14ac:dyDescent="0.3">
      <c r="B227">
        <v>218</v>
      </c>
      <c r="C227" s="6"/>
      <c r="D227" s="6"/>
      <c r="E227" s="6"/>
      <c r="F227" s="6"/>
      <c r="G227" s="6"/>
      <c r="H227" s="23">
        <f t="shared" si="23"/>
        <v>500000</v>
      </c>
      <c r="J227">
        <v>217</v>
      </c>
      <c r="K227" s="4">
        <f t="shared" si="24"/>
        <v>0</v>
      </c>
      <c r="L227" s="4">
        <f t="shared" si="25"/>
        <v>0</v>
      </c>
      <c r="M227" s="4">
        <f t="shared" si="26"/>
        <v>0</v>
      </c>
      <c r="N227" s="4">
        <f t="shared" si="27"/>
        <v>0</v>
      </c>
      <c r="O227" s="4">
        <f t="shared" si="28"/>
        <v>0</v>
      </c>
    </row>
    <row r="228" spans="2:15" x14ac:dyDescent="0.3">
      <c r="B228">
        <v>219</v>
      </c>
      <c r="C228" s="6"/>
      <c r="D228" s="6"/>
      <c r="E228" s="6"/>
      <c r="F228" s="6"/>
      <c r="G228" s="6"/>
      <c r="H228" s="23">
        <f t="shared" si="23"/>
        <v>500000</v>
      </c>
      <c r="J228">
        <v>218</v>
      </c>
      <c r="K228" s="4">
        <f t="shared" si="24"/>
        <v>0</v>
      </c>
      <c r="L228" s="4">
        <f t="shared" si="25"/>
        <v>0</v>
      </c>
      <c r="M228" s="4">
        <f t="shared" si="26"/>
        <v>0</v>
      </c>
      <c r="N228" s="4">
        <f t="shared" si="27"/>
        <v>0</v>
      </c>
      <c r="O228" s="4">
        <f t="shared" si="28"/>
        <v>0</v>
      </c>
    </row>
    <row r="229" spans="2:15" x14ac:dyDescent="0.3">
      <c r="B229">
        <v>220</v>
      </c>
      <c r="C229" s="6"/>
      <c r="D229" s="6"/>
      <c r="E229" s="6"/>
      <c r="F229" s="6"/>
      <c r="G229" s="6"/>
      <c r="H229" s="23">
        <f t="shared" si="23"/>
        <v>500000</v>
      </c>
      <c r="J229">
        <v>219</v>
      </c>
      <c r="K229" s="4">
        <f t="shared" si="24"/>
        <v>0</v>
      </c>
      <c r="L229" s="4">
        <f t="shared" si="25"/>
        <v>0</v>
      </c>
      <c r="M229" s="4">
        <f t="shared" si="26"/>
        <v>0</v>
      </c>
      <c r="N229" s="4">
        <f t="shared" si="27"/>
        <v>0</v>
      </c>
      <c r="O229" s="4">
        <f t="shared" si="28"/>
        <v>0</v>
      </c>
    </row>
    <row r="230" spans="2:15" x14ac:dyDescent="0.3">
      <c r="B230">
        <v>221</v>
      </c>
      <c r="C230" s="6"/>
      <c r="D230" s="6"/>
      <c r="E230" s="6"/>
      <c r="F230" s="6"/>
      <c r="G230" s="6"/>
      <c r="H230" s="23">
        <f t="shared" si="23"/>
        <v>500000</v>
      </c>
      <c r="J230">
        <v>220</v>
      </c>
      <c r="K230" s="4">
        <f t="shared" si="24"/>
        <v>0</v>
      </c>
      <c r="L230" s="4">
        <f t="shared" si="25"/>
        <v>0</v>
      </c>
      <c r="M230" s="4">
        <f t="shared" si="26"/>
        <v>0</v>
      </c>
      <c r="N230" s="4">
        <f t="shared" si="27"/>
        <v>0</v>
      </c>
      <c r="O230" s="4">
        <f t="shared" si="28"/>
        <v>0</v>
      </c>
    </row>
    <row r="231" spans="2:15" x14ac:dyDescent="0.3">
      <c r="B231">
        <v>222</v>
      </c>
      <c r="C231" s="6"/>
      <c r="D231" s="6"/>
      <c r="E231" s="6"/>
      <c r="F231" s="6"/>
      <c r="G231" s="6"/>
      <c r="H231" s="23">
        <f t="shared" si="23"/>
        <v>500000</v>
      </c>
      <c r="J231">
        <v>221</v>
      </c>
      <c r="K231" s="4">
        <f t="shared" si="24"/>
        <v>0</v>
      </c>
      <c r="L231" s="4">
        <f t="shared" si="25"/>
        <v>0</v>
      </c>
      <c r="M231" s="4">
        <f t="shared" si="26"/>
        <v>0</v>
      </c>
      <c r="N231" s="4">
        <f t="shared" si="27"/>
        <v>0</v>
      </c>
      <c r="O231" s="4">
        <f t="shared" si="28"/>
        <v>0</v>
      </c>
    </row>
    <row r="232" spans="2:15" x14ac:dyDescent="0.3">
      <c r="B232">
        <v>223</v>
      </c>
      <c r="C232" s="6"/>
      <c r="D232" s="6"/>
      <c r="E232" s="6"/>
      <c r="F232" s="6"/>
      <c r="G232" s="6"/>
      <c r="H232" s="23">
        <f t="shared" si="23"/>
        <v>500000</v>
      </c>
      <c r="J232">
        <v>222</v>
      </c>
      <c r="K232" s="4">
        <f t="shared" si="24"/>
        <v>0</v>
      </c>
      <c r="L232" s="4">
        <f t="shared" si="25"/>
        <v>0</v>
      </c>
      <c r="M232" s="4">
        <f t="shared" si="26"/>
        <v>0</v>
      </c>
      <c r="N232" s="4">
        <f t="shared" si="27"/>
        <v>0</v>
      </c>
      <c r="O232" s="4">
        <f t="shared" si="28"/>
        <v>0</v>
      </c>
    </row>
    <row r="233" spans="2:15" x14ac:dyDescent="0.3">
      <c r="B233">
        <v>224</v>
      </c>
      <c r="C233" s="6"/>
      <c r="D233" s="6"/>
      <c r="E233" s="6"/>
      <c r="F233" s="6"/>
      <c r="G233" s="6"/>
      <c r="H233" s="23">
        <f t="shared" si="23"/>
        <v>500000</v>
      </c>
      <c r="J233">
        <v>223</v>
      </c>
      <c r="K233" s="4">
        <f t="shared" si="24"/>
        <v>0</v>
      </c>
      <c r="L233" s="4">
        <f t="shared" si="25"/>
        <v>0</v>
      </c>
      <c r="M233" s="4">
        <f t="shared" si="26"/>
        <v>0</v>
      </c>
      <c r="N233" s="4">
        <f t="shared" si="27"/>
        <v>0</v>
      </c>
      <c r="O233" s="4">
        <f t="shared" si="28"/>
        <v>0</v>
      </c>
    </row>
    <row r="234" spans="2:15" x14ac:dyDescent="0.3">
      <c r="B234">
        <v>225</v>
      </c>
      <c r="C234" s="6"/>
      <c r="D234" s="6"/>
      <c r="E234" s="6"/>
      <c r="F234" s="6"/>
      <c r="G234" s="6"/>
      <c r="H234" s="23">
        <f t="shared" si="23"/>
        <v>500000</v>
      </c>
      <c r="J234">
        <v>224</v>
      </c>
      <c r="K234" s="4">
        <f t="shared" si="24"/>
        <v>0</v>
      </c>
      <c r="L234" s="4">
        <f t="shared" si="25"/>
        <v>0</v>
      </c>
      <c r="M234" s="4">
        <f t="shared" si="26"/>
        <v>0</v>
      </c>
      <c r="N234" s="4">
        <f t="shared" si="27"/>
        <v>0</v>
      </c>
      <c r="O234" s="4">
        <f t="shared" si="28"/>
        <v>0</v>
      </c>
    </row>
    <row r="235" spans="2:15" x14ac:dyDescent="0.3">
      <c r="B235">
        <v>226</v>
      </c>
      <c r="C235" s="6"/>
      <c r="D235" s="6"/>
      <c r="E235" s="6"/>
      <c r="F235" s="6"/>
      <c r="G235" s="6"/>
      <c r="H235" s="23">
        <f t="shared" si="23"/>
        <v>500000</v>
      </c>
      <c r="J235">
        <v>225</v>
      </c>
      <c r="K235" s="4">
        <f t="shared" si="24"/>
        <v>0</v>
      </c>
      <c r="L235" s="4">
        <f t="shared" si="25"/>
        <v>0</v>
      </c>
      <c r="M235" s="4">
        <f t="shared" si="26"/>
        <v>0</v>
      </c>
      <c r="N235" s="4">
        <f t="shared" si="27"/>
        <v>0</v>
      </c>
      <c r="O235" s="4">
        <f t="shared" si="28"/>
        <v>0</v>
      </c>
    </row>
    <row r="236" spans="2:15" x14ac:dyDescent="0.3">
      <c r="B236">
        <v>227</v>
      </c>
      <c r="C236" s="6"/>
      <c r="D236" s="6"/>
      <c r="E236" s="6"/>
      <c r="F236" s="6"/>
      <c r="G236" s="6"/>
      <c r="H236" s="23">
        <f t="shared" si="23"/>
        <v>500000</v>
      </c>
      <c r="J236">
        <v>226</v>
      </c>
      <c r="K236" s="4">
        <f t="shared" si="24"/>
        <v>0</v>
      </c>
      <c r="L236" s="4">
        <f t="shared" si="25"/>
        <v>0</v>
      </c>
      <c r="M236" s="4">
        <f t="shared" si="26"/>
        <v>0</v>
      </c>
      <c r="N236" s="4">
        <f t="shared" si="27"/>
        <v>0</v>
      </c>
      <c r="O236" s="4">
        <f t="shared" si="28"/>
        <v>0</v>
      </c>
    </row>
    <row r="237" spans="2:15" x14ac:dyDescent="0.3">
      <c r="B237">
        <v>228</v>
      </c>
      <c r="C237" s="6"/>
      <c r="D237" s="6"/>
      <c r="E237" s="6"/>
      <c r="F237" s="6"/>
      <c r="G237" s="6"/>
      <c r="H237" s="23">
        <f t="shared" si="23"/>
        <v>500000</v>
      </c>
      <c r="J237">
        <v>227</v>
      </c>
      <c r="K237" s="4">
        <f t="shared" si="24"/>
        <v>0</v>
      </c>
      <c r="L237" s="4">
        <f t="shared" si="25"/>
        <v>0</v>
      </c>
      <c r="M237" s="4">
        <f t="shared" si="26"/>
        <v>0</v>
      </c>
      <c r="N237" s="4">
        <f t="shared" si="27"/>
        <v>0</v>
      </c>
      <c r="O237" s="4">
        <f t="shared" si="28"/>
        <v>0</v>
      </c>
    </row>
    <row r="238" spans="2:15" x14ac:dyDescent="0.3">
      <c r="B238">
        <v>229</v>
      </c>
      <c r="C238" s="6"/>
      <c r="D238" s="6"/>
      <c r="E238" s="6"/>
      <c r="F238" s="6"/>
      <c r="G238" s="6"/>
      <c r="H238" s="23">
        <f t="shared" si="23"/>
        <v>500000</v>
      </c>
      <c r="J238">
        <v>228</v>
      </c>
      <c r="K238" s="4">
        <f t="shared" si="24"/>
        <v>0</v>
      </c>
      <c r="L238" s="4">
        <f t="shared" si="25"/>
        <v>0</v>
      </c>
      <c r="M238" s="4">
        <f t="shared" si="26"/>
        <v>0</v>
      </c>
      <c r="N238" s="4">
        <f t="shared" si="27"/>
        <v>0</v>
      </c>
      <c r="O238" s="4">
        <f t="shared" si="28"/>
        <v>0</v>
      </c>
    </row>
    <row r="239" spans="2:15" x14ac:dyDescent="0.3">
      <c r="B239">
        <v>230</v>
      </c>
      <c r="C239" s="6"/>
      <c r="D239" s="6"/>
      <c r="E239" s="6"/>
      <c r="F239" s="6"/>
      <c r="G239" s="6"/>
      <c r="H239" s="23">
        <f t="shared" si="23"/>
        <v>500000</v>
      </c>
      <c r="J239">
        <v>229</v>
      </c>
      <c r="K239" s="4">
        <f t="shared" si="24"/>
        <v>0</v>
      </c>
      <c r="L239" s="4">
        <f t="shared" si="25"/>
        <v>0</v>
      </c>
      <c r="M239" s="4">
        <f t="shared" si="26"/>
        <v>0</v>
      </c>
      <c r="N239" s="4">
        <f t="shared" si="27"/>
        <v>0</v>
      </c>
      <c r="O239" s="4">
        <f t="shared" si="28"/>
        <v>0</v>
      </c>
    </row>
    <row r="240" spans="2:15" x14ac:dyDescent="0.3">
      <c r="B240">
        <v>231</v>
      </c>
      <c r="C240" s="6"/>
      <c r="D240" s="6"/>
      <c r="E240" s="6"/>
      <c r="F240" s="6"/>
      <c r="G240" s="6"/>
      <c r="H240" s="23">
        <f t="shared" si="23"/>
        <v>500000</v>
      </c>
      <c r="J240">
        <v>230</v>
      </c>
      <c r="K240" s="4">
        <f t="shared" si="24"/>
        <v>0</v>
      </c>
      <c r="L240" s="4">
        <f t="shared" si="25"/>
        <v>0</v>
      </c>
      <c r="M240" s="4">
        <f t="shared" si="26"/>
        <v>0</v>
      </c>
      <c r="N240" s="4">
        <f t="shared" si="27"/>
        <v>0</v>
      </c>
      <c r="O240" s="4">
        <f t="shared" si="28"/>
        <v>0</v>
      </c>
    </row>
    <row r="241" spans="2:15" x14ac:dyDescent="0.3">
      <c r="B241">
        <v>232</v>
      </c>
      <c r="C241" s="6"/>
      <c r="D241" s="6"/>
      <c r="E241" s="6"/>
      <c r="F241" s="6"/>
      <c r="G241" s="6"/>
      <c r="H241" s="23">
        <f t="shared" si="23"/>
        <v>500000</v>
      </c>
      <c r="J241">
        <v>231</v>
      </c>
      <c r="K241" s="4">
        <f t="shared" si="24"/>
        <v>0</v>
      </c>
      <c r="L241" s="4">
        <f t="shared" si="25"/>
        <v>0</v>
      </c>
      <c r="M241" s="4">
        <f t="shared" si="26"/>
        <v>0</v>
      </c>
      <c r="N241" s="4">
        <f t="shared" si="27"/>
        <v>0</v>
      </c>
      <c r="O241" s="4">
        <f t="shared" si="28"/>
        <v>0</v>
      </c>
    </row>
    <row r="242" spans="2:15" x14ac:dyDescent="0.3">
      <c r="B242">
        <v>233</v>
      </c>
      <c r="C242" s="6"/>
      <c r="D242" s="6"/>
      <c r="E242" s="6"/>
      <c r="F242" s="6"/>
      <c r="G242" s="6"/>
      <c r="H242" s="23">
        <f t="shared" si="23"/>
        <v>500000</v>
      </c>
      <c r="J242">
        <v>232</v>
      </c>
      <c r="K242" s="4">
        <f t="shared" si="24"/>
        <v>0</v>
      </c>
      <c r="L242" s="4">
        <f t="shared" si="25"/>
        <v>0</v>
      </c>
      <c r="M242" s="4">
        <f t="shared" si="26"/>
        <v>0</v>
      </c>
      <c r="N242" s="4">
        <f t="shared" si="27"/>
        <v>0</v>
      </c>
      <c r="O242" s="4">
        <f t="shared" si="28"/>
        <v>0</v>
      </c>
    </row>
    <row r="243" spans="2:15" x14ac:dyDescent="0.3">
      <c r="B243">
        <v>234</v>
      </c>
      <c r="C243" s="6"/>
      <c r="D243" s="6"/>
      <c r="E243" s="6"/>
      <c r="F243" s="6"/>
      <c r="G243" s="6"/>
      <c r="H243" s="23">
        <f t="shared" si="23"/>
        <v>500000</v>
      </c>
      <c r="J243">
        <v>233</v>
      </c>
      <c r="K243" s="4">
        <f t="shared" si="24"/>
        <v>0</v>
      </c>
      <c r="L243" s="4">
        <f t="shared" si="25"/>
        <v>0</v>
      </c>
      <c r="M243" s="4">
        <f t="shared" si="26"/>
        <v>0</v>
      </c>
      <c r="N243" s="4">
        <f t="shared" si="27"/>
        <v>0</v>
      </c>
      <c r="O243" s="4">
        <f t="shared" si="28"/>
        <v>0</v>
      </c>
    </row>
    <row r="244" spans="2:15" x14ac:dyDescent="0.3">
      <c r="B244">
        <v>235</v>
      </c>
      <c r="C244" s="6"/>
      <c r="D244" s="6"/>
      <c r="E244" s="6"/>
      <c r="F244" s="6"/>
      <c r="G244" s="6"/>
      <c r="H244" s="23">
        <f t="shared" si="23"/>
        <v>500000</v>
      </c>
      <c r="J244">
        <v>234</v>
      </c>
      <c r="K244" s="4">
        <f t="shared" si="24"/>
        <v>0</v>
      </c>
      <c r="L244" s="4">
        <f t="shared" si="25"/>
        <v>0</v>
      </c>
      <c r="M244" s="4">
        <f t="shared" si="26"/>
        <v>0</v>
      </c>
      <c r="N244" s="4">
        <f t="shared" si="27"/>
        <v>0</v>
      </c>
      <c r="O244" s="4">
        <f t="shared" si="28"/>
        <v>0</v>
      </c>
    </row>
    <row r="245" spans="2:15" x14ac:dyDescent="0.3">
      <c r="B245">
        <v>236</v>
      </c>
      <c r="C245" s="6"/>
      <c r="D245" s="6"/>
      <c r="E245" s="6"/>
      <c r="F245" s="6"/>
      <c r="G245" s="6"/>
      <c r="H245" s="23">
        <f t="shared" si="23"/>
        <v>500000</v>
      </c>
      <c r="J245">
        <v>235</v>
      </c>
      <c r="K245" s="4">
        <f t="shared" si="24"/>
        <v>0</v>
      </c>
      <c r="L245" s="4">
        <f t="shared" si="25"/>
        <v>0</v>
      </c>
      <c r="M245" s="4">
        <f t="shared" si="26"/>
        <v>0</v>
      </c>
      <c r="N245" s="4">
        <f t="shared" si="27"/>
        <v>0</v>
      </c>
      <c r="O245" s="4">
        <f t="shared" si="28"/>
        <v>0</v>
      </c>
    </row>
    <row r="246" spans="2:15" x14ac:dyDescent="0.3">
      <c r="B246">
        <v>237</v>
      </c>
      <c r="C246" s="6"/>
      <c r="D246" s="6"/>
      <c r="E246" s="6"/>
      <c r="F246" s="6"/>
      <c r="G246" s="6"/>
      <c r="H246" s="23">
        <f t="shared" si="23"/>
        <v>500000</v>
      </c>
      <c r="J246">
        <v>236</v>
      </c>
      <c r="K246" s="4">
        <f t="shared" si="24"/>
        <v>0</v>
      </c>
      <c r="L246" s="4">
        <f t="shared" si="25"/>
        <v>0</v>
      </c>
      <c r="M246" s="4">
        <f t="shared" si="26"/>
        <v>0</v>
      </c>
      <c r="N246" s="4">
        <f t="shared" si="27"/>
        <v>0</v>
      </c>
      <c r="O246" s="4">
        <f t="shared" si="28"/>
        <v>0</v>
      </c>
    </row>
    <row r="247" spans="2:15" x14ac:dyDescent="0.3">
      <c r="B247">
        <v>238</v>
      </c>
      <c r="C247" s="6"/>
      <c r="D247" s="6"/>
      <c r="E247" s="6"/>
      <c r="F247" s="6"/>
      <c r="G247" s="6"/>
      <c r="H247" s="23">
        <f t="shared" si="23"/>
        <v>500000</v>
      </c>
      <c r="J247">
        <v>237</v>
      </c>
      <c r="K247" s="4">
        <f t="shared" si="24"/>
        <v>0</v>
      </c>
      <c r="L247" s="4">
        <f t="shared" si="25"/>
        <v>0</v>
      </c>
      <c r="M247" s="4">
        <f t="shared" si="26"/>
        <v>0</v>
      </c>
      <c r="N247" s="4">
        <f t="shared" si="27"/>
        <v>0</v>
      </c>
      <c r="O247" s="4">
        <f t="shared" si="28"/>
        <v>0</v>
      </c>
    </row>
    <row r="248" spans="2:15" x14ac:dyDescent="0.3">
      <c r="B248">
        <v>239</v>
      </c>
      <c r="C248" s="6"/>
      <c r="D248" s="6"/>
      <c r="E248" s="6"/>
      <c r="F248" s="6"/>
      <c r="G248" s="6"/>
      <c r="H248" s="23">
        <f t="shared" si="23"/>
        <v>500000</v>
      </c>
      <c r="J248">
        <v>238</v>
      </c>
      <c r="K248" s="4">
        <f t="shared" si="24"/>
        <v>0</v>
      </c>
      <c r="L248" s="4">
        <f t="shared" si="25"/>
        <v>0</v>
      </c>
      <c r="M248" s="4">
        <f t="shared" si="26"/>
        <v>0</v>
      </c>
      <c r="N248" s="4">
        <f t="shared" si="27"/>
        <v>0</v>
      </c>
      <c r="O248" s="4">
        <f t="shared" si="28"/>
        <v>0</v>
      </c>
    </row>
    <row r="249" spans="2:15" x14ac:dyDescent="0.3">
      <c r="B249">
        <v>240</v>
      </c>
      <c r="C249" s="6"/>
      <c r="D249" s="6"/>
      <c r="E249" s="6"/>
      <c r="F249" s="6"/>
      <c r="G249" s="6"/>
      <c r="H249" s="23">
        <f t="shared" si="23"/>
        <v>500000</v>
      </c>
      <c r="J249">
        <v>239</v>
      </c>
      <c r="K249" s="4">
        <f t="shared" si="24"/>
        <v>0</v>
      </c>
      <c r="L249" s="4">
        <f t="shared" si="25"/>
        <v>0</v>
      </c>
      <c r="M249" s="4">
        <f t="shared" si="26"/>
        <v>0</v>
      </c>
      <c r="N249" s="4">
        <f t="shared" si="27"/>
        <v>0</v>
      </c>
      <c r="O249" s="4">
        <f t="shared" si="28"/>
        <v>0</v>
      </c>
    </row>
    <row r="250" spans="2:15" x14ac:dyDescent="0.3">
      <c r="B250">
        <v>241</v>
      </c>
      <c r="C250" s="6"/>
      <c r="D250" s="6"/>
      <c r="E250" s="6"/>
      <c r="F250" s="6"/>
      <c r="G250" s="6"/>
      <c r="H250" s="23">
        <f t="shared" si="23"/>
        <v>500000</v>
      </c>
      <c r="J250">
        <v>240</v>
      </c>
      <c r="K250" s="4">
        <f t="shared" si="24"/>
        <v>0</v>
      </c>
      <c r="L250" s="4">
        <f t="shared" si="25"/>
        <v>0</v>
      </c>
      <c r="M250" s="4">
        <f t="shared" si="26"/>
        <v>0</v>
      </c>
      <c r="N250" s="4">
        <f t="shared" si="27"/>
        <v>0</v>
      </c>
      <c r="O250" s="4">
        <f t="shared" si="28"/>
        <v>0</v>
      </c>
    </row>
    <row r="251" spans="2:15" x14ac:dyDescent="0.3">
      <c r="B251">
        <v>242</v>
      </c>
      <c r="C251" s="6"/>
      <c r="D251" s="6"/>
      <c r="E251" s="6"/>
      <c r="F251" s="6"/>
      <c r="G251" s="6"/>
      <c r="H251" s="23">
        <f t="shared" si="23"/>
        <v>500000</v>
      </c>
      <c r="J251">
        <v>241</v>
      </c>
      <c r="K251" s="4">
        <f t="shared" si="24"/>
        <v>0</v>
      </c>
      <c r="L251" s="4">
        <f t="shared" si="25"/>
        <v>0</v>
      </c>
      <c r="M251" s="4">
        <f t="shared" si="26"/>
        <v>0</v>
      </c>
      <c r="N251" s="4">
        <f t="shared" si="27"/>
        <v>0</v>
      </c>
      <c r="O251" s="4">
        <f t="shared" si="28"/>
        <v>0</v>
      </c>
    </row>
    <row r="252" spans="2:15" x14ac:dyDescent="0.3">
      <c r="B252">
        <v>243</v>
      </c>
      <c r="C252" s="6"/>
      <c r="D252" s="6"/>
      <c r="E252" s="6"/>
      <c r="F252" s="6"/>
      <c r="G252" s="6"/>
      <c r="H252" s="23">
        <f t="shared" si="23"/>
        <v>500000</v>
      </c>
      <c r="J252">
        <v>242</v>
      </c>
      <c r="K252" s="4">
        <f t="shared" si="24"/>
        <v>0</v>
      </c>
      <c r="L252" s="4">
        <f t="shared" si="25"/>
        <v>0</v>
      </c>
      <c r="M252" s="4">
        <f t="shared" si="26"/>
        <v>0</v>
      </c>
      <c r="N252" s="4">
        <f t="shared" si="27"/>
        <v>0</v>
      </c>
      <c r="O252" s="4">
        <f t="shared" si="28"/>
        <v>0</v>
      </c>
    </row>
    <row r="253" spans="2:15" x14ac:dyDescent="0.3">
      <c r="B253">
        <v>244</v>
      </c>
      <c r="C253" s="6"/>
      <c r="D253" s="6"/>
      <c r="E253" s="6"/>
      <c r="F253" s="6"/>
      <c r="G253" s="6"/>
      <c r="H253" s="23">
        <f t="shared" si="23"/>
        <v>500000</v>
      </c>
      <c r="J253">
        <v>243</v>
      </c>
      <c r="K253" s="4">
        <f t="shared" si="24"/>
        <v>0</v>
      </c>
      <c r="L253" s="4">
        <f t="shared" si="25"/>
        <v>0</v>
      </c>
      <c r="M253" s="4">
        <f t="shared" si="26"/>
        <v>0</v>
      </c>
      <c r="N253" s="4">
        <f t="shared" si="27"/>
        <v>0</v>
      </c>
      <c r="O253" s="4">
        <f t="shared" si="28"/>
        <v>0</v>
      </c>
    </row>
    <row r="254" spans="2:15" x14ac:dyDescent="0.3">
      <c r="B254">
        <v>245</v>
      </c>
      <c r="C254" s="6"/>
      <c r="D254" s="6"/>
      <c r="E254" s="6"/>
      <c r="F254" s="6"/>
      <c r="G254" s="6"/>
      <c r="H254" s="23">
        <f t="shared" si="23"/>
        <v>500000</v>
      </c>
      <c r="J254">
        <v>244</v>
      </c>
      <c r="K254" s="4">
        <f t="shared" si="24"/>
        <v>0</v>
      </c>
      <c r="L254" s="4">
        <f t="shared" si="25"/>
        <v>0</v>
      </c>
      <c r="M254" s="4">
        <f t="shared" si="26"/>
        <v>0</v>
      </c>
      <c r="N254" s="4">
        <f t="shared" si="27"/>
        <v>0</v>
      </c>
      <c r="O254" s="4">
        <f t="shared" si="28"/>
        <v>0</v>
      </c>
    </row>
    <row r="255" spans="2:15" x14ac:dyDescent="0.3">
      <c r="B255">
        <v>246</v>
      </c>
      <c r="C255" s="6"/>
      <c r="D255" s="6"/>
      <c r="E255" s="6"/>
      <c r="F255" s="6"/>
      <c r="G255" s="6"/>
      <c r="H255" s="23">
        <f t="shared" si="23"/>
        <v>500000</v>
      </c>
      <c r="J255">
        <v>245</v>
      </c>
      <c r="K255" s="4">
        <f t="shared" si="24"/>
        <v>0</v>
      </c>
      <c r="L255" s="4">
        <f t="shared" si="25"/>
        <v>0</v>
      </c>
      <c r="M255" s="4">
        <f t="shared" si="26"/>
        <v>0</v>
      </c>
      <c r="N255" s="4">
        <f t="shared" si="27"/>
        <v>0</v>
      </c>
      <c r="O255" s="4">
        <f t="shared" si="28"/>
        <v>0</v>
      </c>
    </row>
    <row r="256" spans="2:15" x14ac:dyDescent="0.3">
      <c r="B256">
        <v>247</v>
      </c>
      <c r="C256" s="6"/>
      <c r="D256" s="6"/>
      <c r="E256" s="6"/>
      <c r="F256" s="6"/>
      <c r="G256" s="6"/>
      <c r="H256" s="23">
        <f t="shared" si="23"/>
        <v>500000</v>
      </c>
      <c r="J256">
        <v>246</v>
      </c>
      <c r="K256" s="4">
        <f t="shared" si="24"/>
        <v>0</v>
      </c>
      <c r="L256" s="4">
        <f t="shared" si="25"/>
        <v>0</v>
      </c>
      <c r="M256" s="4">
        <f t="shared" si="26"/>
        <v>0</v>
      </c>
      <c r="N256" s="4">
        <f t="shared" si="27"/>
        <v>0</v>
      </c>
      <c r="O256" s="4">
        <f t="shared" si="28"/>
        <v>0</v>
      </c>
    </row>
    <row r="257" spans="2:15" x14ac:dyDescent="0.3">
      <c r="B257">
        <v>248</v>
      </c>
      <c r="C257" s="6"/>
      <c r="D257" s="6"/>
      <c r="E257" s="6"/>
      <c r="F257" s="6"/>
      <c r="G257" s="6"/>
      <c r="H257" s="23">
        <f t="shared" si="23"/>
        <v>500000</v>
      </c>
      <c r="J257">
        <v>247</v>
      </c>
      <c r="K257" s="4">
        <f t="shared" si="24"/>
        <v>0</v>
      </c>
      <c r="L257" s="4">
        <f t="shared" si="25"/>
        <v>0</v>
      </c>
      <c r="M257" s="4">
        <f t="shared" si="26"/>
        <v>0</v>
      </c>
      <c r="N257" s="4">
        <f t="shared" si="27"/>
        <v>0</v>
      </c>
      <c r="O257" s="4">
        <f t="shared" si="28"/>
        <v>0</v>
      </c>
    </row>
    <row r="258" spans="2:15" x14ac:dyDescent="0.3">
      <c r="B258">
        <v>249</v>
      </c>
      <c r="C258" s="6"/>
      <c r="D258" s="6"/>
      <c r="E258" s="6"/>
      <c r="F258" s="6"/>
      <c r="G258" s="6"/>
      <c r="H258" s="23">
        <f t="shared" si="23"/>
        <v>500000</v>
      </c>
      <c r="J258">
        <v>248</v>
      </c>
      <c r="K258" s="4">
        <f t="shared" si="24"/>
        <v>0</v>
      </c>
      <c r="L258" s="4">
        <f t="shared" si="25"/>
        <v>0</v>
      </c>
      <c r="M258" s="4">
        <f t="shared" si="26"/>
        <v>0</v>
      </c>
      <c r="N258" s="4">
        <f t="shared" si="27"/>
        <v>0</v>
      </c>
      <c r="O258" s="4">
        <f t="shared" si="28"/>
        <v>0</v>
      </c>
    </row>
    <row r="259" spans="2:15" x14ac:dyDescent="0.3">
      <c r="B259">
        <v>250</v>
      </c>
      <c r="C259" s="6"/>
      <c r="D259" s="6"/>
      <c r="E259" s="6"/>
      <c r="F259" s="6"/>
      <c r="G259" s="6"/>
      <c r="H259" s="23">
        <f t="shared" si="23"/>
        <v>500000</v>
      </c>
      <c r="J259">
        <v>249</v>
      </c>
      <c r="K259" s="4">
        <f t="shared" si="24"/>
        <v>0</v>
      </c>
      <c r="L259" s="4">
        <f t="shared" si="25"/>
        <v>0</v>
      </c>
      <c r="M259" s="4">
        <f t="shared" si="26"/>
        <v>0</v>
      </c>
      <c r="N259" s="4">
        <f t="shared" si="27"/>
        <v>0</v>
      </c>
      <c r="O259" s="4">
        <f t="shared" si="28"/>
        <v>0</v>
      </c>
    </row>
    <row r="260" spans="2:15" x14ac:dyDescent="0.3">
      <c r="B260">
        <v>251</v>
      </c>
      <c r="C260" s="6"/>
      <c r="D260" s="6"/>
      <c r="E260" s="6"/>
      <c r="F260" s="6"/>
      <c r="G260" s="6"/>
      <c r="H260" s="23">
        <f t="shared" si="23"/>
        <v>500000</v>
      </c>
      <c r="J260">
        <v>250</v>
      </c>
      <c r="K260" s="4">
        <f t="shared" si="24"/>
        <v>0</v>
      </c>
      <c r="L260" s="4">
        <f t="shared" si="25"/>
        <v>0</v>
      </c>
      <c r="M260" s="4">
        <f t="shared" si="26"/>
        <v>0</v>
      </c>
      <c r="N260" s="4">
        <f t="shared" si="27"/>
        <v>0</v>
      </c>
      <c r="O260" s="4">
        <f t="shared" si="28"/>
        <v>0</v>
      </c>
    </row>
    <row r="261" spans="2:15" x14ac:dyDescent="0.3">
      <c r="B261">
        <v>252</v>
      </c>
      <c r="C261" s="6"/>
      <c r="D261" s="6"/>
      <c r="E261" s="6"/>
      <c r="F261" s="6"/>
      <c r="G261" s="6"/>
      <c r="H261" s="23">
        <f t="shared" si="23"/>
        <v>500000</v>
      </c>
      <c r="J261">
        <v>251</v>
      </c>
      <c r="K261" s="4">
        <f t="shared" si="24"/>
        <v>0</v>
      </c>
      <c r="L261" s="4">
        <f t="shared" si="25"/>
        <v>0</v>
      </c>
      <c r="M261" s="4">
        <f t="shared" si="26"/>
        <v>0</v>
      </c>
      <c r="N261" s="4">
        <f t="shared" si="27"/>
        <v>0</v>
      </c>
      <c r="O261" s="4">
        <f t="shared" si="28"/>
        <v>0</v>
      </c>
    </row>
    <row r="262" spans="2:15" x14ac:dyDescent="0.3">
      <c r="B262">
        <v>253</v>
      </c>
      <c r="C262" s="6"/>
      <c r="D262" s="6"/>
      <c r="E262" s="6"/>
      <c r="F262" s="6"/>
      <c r="G262" s="6"/>
      <c r="H262" s="23">
        <f t="shared" ref="H262:H325" si="29">F262+H261</f>
        <v>500000</v>
      </c>
      <c r="J262">
        <v>252</v>
      </c>
      <c r="K262" s="4">
        <f t="shared" si="24"/>
        <v>0</v>
      </c>
      <c r="L262" s="4">
        <f t="shared" si="25"/>
        <v>0</v>
      </c>
      <c r="M262" s="4">
        <f t="shared" si="26"/>
        <v>0</v>
      </c>
      <c r="N262" s="4">
        <f t="shared" si="27"/>
        <v>0</v>
      </c>
      <c r="O262" s="4">
        <f t="shared" si="28"/>
        <v>0</v>
      </c>
    </row>
    <row r="263" spans="2:15" x14ac:dyDescent="0.3">
      <c r="B263">
        <v>254</v>
      </c>
      <c r="C263" s="6"/>
      <c r="D263" s="6"/>
      <c r="E263" s="6"/>
      <c r="F263" s="6"/>
      <c r="G263" s="6"/>
      <c r="H263" s="23">
        <f t="shared" si="29"/>
        <v>500000</v>
      </c>
      <c r="J263">
        <v>253</v>
      </c>
      <c r="K263" s="4">
        <f t="shared" si="24"/>
        <v>0</v>
      </c>
      <c r="L263" s="4">
        <f t="shared" si="25"/>
        <v>0</v>
      </c>
      <c r="M263" s="4">
        <f t="shared" si="26"/>
        <v>0</v>
      </c>
      <c r="N263" s="4">
        <f t="shared" si="27"/>
        <v>0</v>
      </c>
      <c r="O263" s="4">
        <f t="shared" si="28"/>
        <v>0</v>
      </c>
    </row>
    <row r="264" spans="2:15" x14ac:dyDescent="0.3">
      <c r="B264">
        <v>255</v>
      </c>
      <c r="C264" s="6"/>
      <c r="D264" s="6"/>
      <c r="E264" s="6"/>
      <c r="F264" s="6"/>
      <c r="G264" s="6"/>
      <c r="H264" s="23">
        <f t="shared" si="29"/>
        <v>500000</v>
      </c>
      <c r="J264">
        <v>254</v>
      </c>
      <c r="K264" s="4">
        <f t="shared" si="24"/>
        <v>0</v>
      </c>
      <c r="L264" s="4">
        <f t="shared" si="25"/>
        <v>0</v>
      </c>
      <c r="M264" s="4">
        <f t="shared" si="26"/>
        <v>0</v>
      </c>
      <c r="N264" s="4">
        <f t="shared" si="27"/>
        <v>0</v>
      </c>
      <c r="O264" s="4">
        <f t="shared" si="28"/>
        <v>0</v>
      </c>
    </row>
    <row r="265" spans="2:15" x14ac:dyDescent="0.3">
      <c r="B265">
        <v>256</v>
      </c>
      <c r="C265" s="6"/>
      <c r="D265" s="6"/>
      <c r="E265" s="6"/>
      <c r="F265" s="6"/>
      <c r="G265" s="6"/>
      <c r="H265" s="23">
        <f t="shared" si="29"/>
        <v>500000</v>
      </c>
      <c r="J265">
        <v>255</v>
      </c>
      <c r="K265" s="4">
        <f t="shared" si="24"/>
        <v>0</v>
      </c>
      <c r="L265" s="4">
        <f t="shared" si="25"/>
        <v>0</v>
      </c>
      <c r="M265" s="4">
        <f t="shared" si="26"/>
        <v>0</v>
      </c>
      <c r="N265" s="4">
        <f t="shared" si="27"/>
        <v>0</v>
      </c>
      <c r="O265" s="4">
        <f t="shared" si="28"/>
        <v>0</v>
      </c>
    </row>
    <row r="266" spans="2:15" x14ac:dyDescent="0.3">
      <c r="B266">
        <v>257</v>
      </c>
      <c r="C266" s="6"/>
      <c r="D266" s="6"/>
      <c r="E266" s="6"/>
      <c r="F266" s="6"/>
      <c r="G266" s="6"/>
      <c r="H266" s="23">
        <f t="shared" si="29"/>
        <v>500000</v>
      </c>
      <c r="J266">
        <v>256</v>
      </c>
      <c r="K266" s="4">
        <f t="shared" si="24"/>
        <v>0</v>
      </c>
      <c r="L266" s="4">
        <f t="shared" si="25"/>
        <v>0</v>
      </c>
      <c r="M266" s="4">
        <f t="shared" si="26"/>
        <v>0</v>
      </c>
      <c r="N266" s="4">
        <f t="shared" si="27"/>
        <v>0</v>
      </c>
      <c r="O266" s="4">
        <f t="shared" si="28"/>
        <v>0</v>
      </c>
    </row>
    <row r="267" spans="2:15" x14ac:dyDescent="0.3">
      <c r="B267">
        <v>258</v>
      </c>
      <c r="C267" s="6"/>
      <c r="D267" s="6"/>
      <c r="E267" s="6"/>
      <c r="F267" s="6"/>
      <c r="G267" s="6"/>
      <c r="H267" s="23">
        <f t="shared" si="29"/>
        <v>500000</v>
      </c>
      <c r="J267">
        <v>257</v>
      </c>
      <c r="K267" s="4">
        <f t="shared" si="24"/>
        <v>0</v>
      </c>
      <c r="L267" s="4">
        <f t="shared" si="25"/>
        <v>0</v>
      </c>
      <c r="M267" s="4">
        <f t="shared" si="26"/>
        <v>0</v>
      </c>
      <c r="N267" s="4">
        <f t="shared" si="27"/>
        <v>0</v>
      </c>
      <c r="O267" s="4">
        <f t="shared" si="28"/>
        <v>0</v>
      </c>
    </row>
    <row r="268" spans="2:15" x14ac:dyDescent="0.3">
      <c r="B268">
        <v>259</v>
      </c>
      <c r="C268" s="6"/>
      <c r="D268" s="6"/>
      <c r="E268" s="6"/>
      <c r="F268" s="6"/>
      <c r="G268" s="6"/>
      <c r="H268" s="23">
        <f t="shared" si="29"/>
        <v>500000</v>
      </c>
      <c r="J268">
        <v>258</v>
      </c>
      <c r="K268" s="4">
        <f t="shared" ref="K268:K331" si="30">IF(J268&gt;($M$3+$F$3),L268+M268,$C$5)</f>
        <v>0</v>
      </c>
      <c r="L268" s="4">
        <f t="shared" ref="L268:L331" si="31">O267*$C$3</f>
        <v>0</v>
      </c>
      <c r="M268" s="4">
        <f t="shared" ref="M268:M331" si="32">IF(J268&lt;($M$3+$F$3),K268-L268,O267)</f>
        <v>0</v>
      </c>
      <c r="N268" s="4">
        <f t="shared" ref="N268:N331" si="33">IF(B267=$F$3,$F$2,0)</f>
        <v>0</v>
      </c>
      <c r="O268" s="4">
        <f t="shared" ref="O268:O331" si="34">O267-M268-N268</f>
        <v>0</v>
      </c>
    </row>
    <row r="269" spans="2:15" x14ac:dyDescent="0.3">
      <c r="B269">
        <v>260</v>
      </c>
      <c r="C269" s="6"/>
      <c r="D269" s="6"/>
      <c r="E269" s="6"/>
      <c r="F269" s="6"/>
      <c r="G269" s="6"/>
      <c r="H269" s="23">
        <f t="shared" si="29"/>
        <v>500000</v>
      </c>
      <c r="J269">
        <v>259</v>
      </c>
      <c r="K269" s="4">
        <f t="shared" si="30"/>
        <v>0</v>
      </c>
      <c r="L269" s="4">
        <f t="shared" si="31"/>
        <v>0</v>
      </c>
      <c r="M269" s="4">
        <f t="shared" si="32"/>
        <v>0</v>
      </c>
      <c r="N269" s="4">
        <f t="shared" si="33"/>
        <v>0</v>
      </c>
      <c r="O269" s="4">
        <f t="shared" si="34"/>
        <v>0</v>
      </c>
    </row>
    <row r="270" spans="2:15" x14ac:dyDescent="0.3">
      <c r="B270">
        <v>261</v>
      </c>
      <c r="C270" s="6"/>
      <c r="D270" s="6"/>
      <c r="E270" s="6"/>
      <c r="F270" s="6"/>
      <c r="G270" s="6"/>
      <c r="H270" s="23">
        <f t="shared" si="29"/>
        <v>500000</v>
      </c>
      <c r="J270">
        <v>260</v>
      </c>
      <c r="K270" s="4">
        <f t="shared" si="30"/>
        <v>0</v>
      </c>
      <c r="L270" s="4">
        <f t="shared" si="31"/>
        <v>0</v>
      </c>
      <c r="M270" s="4">
        <f t="shared" si="32"/>
        <v>0</v>
      </c>
      <c r="N270" s="4">
        <f t="shared" si="33"/>
        <v>0</v>
      </c>
      <c r="O270" s="4">
        <f t="shared" si="34"/>
        <v>0</v>
      </c>
    </row>
    <row r="271" spans="2:15" x14ac:dyDescent="0.3">
      <c r="B271">
        <v>262</v>
      </c>
      <c r="C271" s="6"/>
      <c r="D271" s="6"/>
      <c r="E271" s="6"/>
      <c r="F271" s="6"/>
      <c r="G271" s="6"/>
      <c r="H271" s="23">
        <f t="shared" si="29"/>
        <v>500000</v>
      </c>
      <c r="J271">
        <v>261</v>
      </c>
      <c r="K271" s="4">
        <f t="shared" si="30"/>
        <v>0</v>
      </c>
      <c r="L271" s="4">
        <f t="shared" si="31"/>
        <v>0</v>
      </c>
      <c r="M271" s="4">
        <f t="shared" si="32"/>
        <v>0</v>
      </c>
      <c r="N271" s="4">
        <f t="shared" si="33"/>
        <v>0</v>
      </c>
      <c r="O271" s="4">
        <f t="shared" si="34"/>
        <v>0</v>
      </c>
    </row>
    <row r="272" spans="2:15" x14ac:dyDescent="0.3">
      <c r="B272">
        <v>263</v>
      </c>
      <c r="C272" s="6"/>
      <c r="D272" s="6"/>
      <c r="E272" s="6"/>
      <c r="F272" s="6"/>
      <c r="G272" s="6"/>
      <c r="H272" s="23">
        <f t="shared" si="29"/>
        <v>500000</v>
      </c>
      <c r="J272">
        <v>262</v>
      </c>
      <c r="K272" s="4">
        <f t="shared" si="30"/>
        <v>0</v>
      </c>
      <c r="L272" s="4">
        <f t="shared" si="31"/>
        <v>0</v>
      </c>
      <c r="M272" s="4">
        <f t="shared" si="32"/>
        <v>0</v>
      </c>
      <c r="N272" s="4">
        <f t="shared" si="33"/>
        <v>0</v>
      </c>
      <c r="O272" s="4">
        <f t="shared" si="34"/>
        <v>0</v>
      </c>
    </row>
    <row r="273" spans="2:15" x14ac:dyDescent="0.3">
      <c r="B273">
        <v>264</v>
      </c>
      <c r="C273" s="6"/>
      <c r="D273" s="6"/>
      <c r="E273" s="6"/>
      <c r="F273" s="6"/>
      <c r="G273" s="6"/>
      <c r="H273" s="23">
        <f t="shared" si="29"/>
        <v>500000</v>
      </c>
      <c r="J273">
        <v>263</v>
      </c>
      <c r="K273" s="4">
        <f t="shared" si="30"/>
        <v>0</v>
      </c>
      <c r="L273" s="4">
        <f t="shared" si="31"/>
        <v>0</v>
      </c>
      <c r="M273" s="4">
        <f t="shared" si="32"/>
        <v>0</v>
      </c>
      <c r="N273" s="4">
        <f t="shared" si="33"/>
        <v>0</v>
      </c>
      <c r="O273" s="4">
        <f t="shared" si="34"/>
        <v>0</v>
      </c>
    </row>
    <row r="274" spans="2:15" x14ac:dyDescent="0.3">
      <c r="B274">
        <v>265</v>
      </c>
      <c r="C274" s="6"/>
      <c r="D274" s="6"/>
      <c r="E274" s="6"/>
      <c r="F274" s="6"/>
      <c r="G274" s="6"/>
      <c r="H274" s="23">
        <f t="shared" si="29"/>
        <v>500000</v>
      </c>
      <c r="J274">
        <v>264</v>
      </c>
      <c r="K274" s="4">
        <f t="shared" si="30"/>
        <v>0</v>
      </c>
      <c r="L274" s="4">
        <f t="shared" si="31"/>
        <v>0</v>
      </c>
      <c r="M274" s="4">
        <f t="shared" si="32"/>
        <v>0</v>
      </c>
      <c r="N274" s="4">
        <f t="shared" si="33"/>
        <v>0</v>
      </c>
      <c r="O274" s="4">
        <f t="shared" si="34"/>
        <v>0</v>
      </c>
    </row>
    <row r="275" spans="2:15" x14ac:dyDescent="0.3">
      <c r="B275">
        <v>266</v>
      </c>
      <c r="C275" s="6"/>
      <c r="D275" s="6"/>
      <c r="E275" s="6"/>
      <c r="F275" s="6"/>
      <c r="G275" s="6"/>
      <c r="H275" s="23">
        <f t="shared" si="29"/>
        <v>500000</v>
      </c>
      <c r="J275">
        <v>265</v>
      </c>
      <c r="K275" s="4">
        <f t="shared" si="30"/>
        <v>0</v>
      </c>
      <c r="L275" s="4">
        <f t="shared" si="31"/>
        <v>0</v>
      </c>
      <c r="M275" s="4">
        <f t="shared" si="32"/>
        <v>0</v>
      </c>
      <c r="N275" s="4">
        <f t="shared" si="33"/>
        <v>0</v>
      </c>
      <c r="O275" s="4">
        <f t="shared" si="34"/>
        <v>0</v>
      </c>
    </row>
    <row r="276" spans="2:15" x14ac:dyDescent="0.3">
      <c r="B276">
        <v>267</v>
      </c>
      <c r="C276" s="6"/>
      <c r="D276" s="6"/>
      <c r="E276" s="6"/>
      <c r="F276" s="6"/>
      <c r="G276" s="6"/>
      <c r="H276" s="23">
        <f t="shared" si="29"/>
        <v>500000</v>
      </c>
      <c r="J276">
        <v>266</v>
      </c>
      <c r="K276" s="4">
        <f t="shared" si="30"/>
        <v>0</v>
      </c>
      <c r="L276" s="4">
        <f t="shared" si="31"/>
        <v>0</v>
      </c>
      <c r="M276" s="4">
        <f t="shared" si="32"/>
        <v>0</v>
      </c>
      <c r="N276" s="4">
        <f t="shared" si="33"/>
        <v>0</v>
      </c>
      <c r="O276" s="4">
        <f t="shared" si="34"/>
        <v>0</v>
      </c>
    </row>
    <row r="277" spans="2:15" x14ac:dyDescent="0.3">
      <c r="B277">
        <v>268</v>
      </c>
      <c r="C277" s="6"/>
      <c r="D277" s="6"/>
      <c r="E277" s="6"/>
      <c r="F277" s="6"/>
      <c r="G277" s="6"/>
      <c r="H277" s="23">
        <f t="shared" si="29"/>
        <v>500000</v>
      </c>
      <c r="J277">
        <v>267</v>
      </c>
      <c r="K277" s="4">
        <f t="shared" si="30"/>
        <v>0</v>
      </c>
      <c r="L277" s="4">
        <f t="shared" si="31"/>
        <v>0</v>
      </c>
      <c r="M277" s="4">
        <f t="shared" si="32"/>
        <v>0</v>
      </c>
      <c r="N277" s="4">
        <f t="shared" si="33"/>
        <v>0</v>
      </c>
      <c r="O277" s="4">
        <f t="shared" si="34"/>
        <v>0</v>
      </c>
    </row>
    <row r="278" spans="2:15" x14ac:dyDescent="0.3">
      <c r="B278">
        <v>269</v>
      </c>
      <c r="C278" s="6"/>
      <c r="D278" s="6"/>
      <c r="E278" s="6"/>
      <c r="F278" s="6"/>
      <c r="G278" s="6"/>
      <c r="H278" s="23">
        <f t="shared" si="29"/>
        <v>500000</v>
      </c>
      <c r="J278">
        <v>268</v>
      </c>
      <c r="K278" s="4">
        <f t="shared" si="30"/>
        <v>0</v>
      </c>
      <c r="L278" s="4">
        <f t="shared" si="31"/>
        <v>0</v>
      </c>
      <c r="M278" s="4">
        <f t="shared" si="32"/>
        <v>0</v>
      </c>
      <c r="N278" s="4">
        <f t="shared" si="33"/>
        <v>0</v>
      </c>
      <c r="O278" s="4">
        <f t="shared" si="34"/>
        <v>0</v>
      </c>
    </row>
    <row r="279" spans="2:15" x14ac:dyDescent="0.3">
      <c r="B279">
        <v>270</v>
      </c>
      <c r="C279" s="6"/>
      <c r="D279" s="6"/>
      <c r="E279" s="6"/>
      <c r="F279" s="6"/>
      <c r="G279" s="6"/>
      <c r="H279" s="23">
        <f t="shared" si="29"/>
        <v>500000</v>
      </c>
      <c r="J279">
        <v>269</v>
      </c>
      <c r="K279" s="4">
        <f t="shared" si="30"/>
        <v>0</v>
      </c>
      <c r="L279" s="4">
        <f t="shared" si="31"/>
        <v>0</v>
      </c>
      <c r="M279" s="4">
        <f t="shared" si="32"/>
        <v>0</v>
      </c>
      <c r="N279" s="4">
        <f t="shared" si="33"/>
        <v>0</v>
      </c>
      <c r="O279" s="4">
        <f t="shared" si="34"/>
        <v>0</v>
      </c>
    </row>
    <row r="280" spans="2:15" x14ac:dyDescent="0.3">
      <c r="B280">
        <v>271</v>
      </c>
      <c r="C280" s="6"/>
      <c r="D280" s="6"/>
      <c r="E280" s="6"/>
      <c r="F280" s="6"/>
      <c r="G280" s="6"/>
      <c r="H280" s="23">
        <f t="shared" si="29"/>
        <v>500000</v>
      </c>
      <c r="J280">
        <v>270</v>
      </c>
      <c r="K280" s="4">
        <f t="shared" si="30"/>
        <v>0</v>
      </c>
      <c r="L280" s="4">
        <f t="shared" si="31"/>
        <v>0</v>
      </c>
      <c r="M280" s="4">
        <f t="shared" si="32"/>
        <v>0</v>
      </c>
      <c r="N280" s="4">
        <f t="shared" si="33"/>
        <v>0</v>
      </c>
      <c r="O280" s="4">
        <f t="shared" si="34"/>
        <v>0</v>
      </c>
    </row>
    <row r="281" spans="2:15" x14ac:dyDescent="0.3">
      <c r="B281">
        <v>272</v>
      </c>
      <c r="C281" s="6"/>
      <c r="D281" s="6"/>
      <c r="E281" s="6"/>
      <c r="F281" s="6"/>
      <c r="G281" s="6"/>
      <c r="H281" s="23">
        <f t="shared" si="29"/>
        <v>500000</v>
      </c>
      <c r="J281">
        <v>271</v>
      </c>
      <c r="K281" s="4">
        <f t="shared" si="30"/>
        <v>0</v>
      </c>
      <c r="L281" s="4">
        <f t="shared" si="31"/>
        <v>0</v>
      </c>
      <c r="M281" s="4">
        <f t="shared" si="32"/>
        <v>0</v>
      </c>
      <c r="N281" s="4">
        <f t="shared" si="33"/>
        <v>0</v>
      </c>
      <c r="O281" s="4">
        <f t="shared" si="34"/>
        <v>0</v>
      </c>
    </row>
    <row r="282" spans="2:15" x14ac:dyDescent="0.3">
      <c r="B282">
        <v>273</v>
      </c>
      <c r="C282" s="6"/>
      <c r="D282" s="6"/>
      <c r="E282" s="6"/>
      <c r="F282" s="6"/>
      <c r="G282" s="6"/>
      <c r="H282" s="23">
        <f t="shared" si="29"/>
        <v>500000</v>
      </c>
      <c r="J282">
        <v>272</v>
      </c>
      <c r="K282" s="4">
        <f t="shared" si="30"/>
        <v>0</v>
      </c>
      <c r="L282" s="4">
        <f t="shared" si="31"/>
        <v>0</v>
      </c>
      <c r="M282" s="4">
        <f t="shared" si="32"/>
        <v>0</v>
      </c>
      <c r="N282" s="4">
        <f t="shared" si="33"/>
        <v>0</v>
      </c>
      <c r="O282" s="4">
        <f t="shared" si="34"/>
        <v>0</v>
      </c>
    </row>
    <row r="283" spans="2:15" x14ac:dyDescent="0.3">
      <c r="B283">
        <v>274</v>
      </c>
      <c r="C283" s="6"/>
      <c r="D283" s="6"/>
      <c r="E283" s="6"/>
      <c r="F283" s="6"/>
      <c r="G283" s="6"/>
      <c r="H283" s="23">
        <f t="shared" si="29"/>
        <v>500000</v>
      </c>
      <c r="J283">
        <v>273</v>
      </c>
      <c r="K283" s="4">
        <f t="shared" si="30"/>
        <v>0</v>
      </c>
      <c r="L283" s="4">
        <f t="shared" si="31"/>
        <v>0</v>
      </c>
      <c r="M283" s="4">
        <f t="shared" si="32"/>
        <v>0</v>
      </c>
      <c r="N283" s="4">
        <f t="shared" si="33"/>
        <v>0</v>
      </c>
      <c r="O283" s="4">
        <f t="shared" si="34"/>
        <v>0</v>
      </c>
    </row>
    <row r="284" spans="2:15" x14ac:dyDescent="0.3">
      <c r="B284">
        <v>275</v>
      </c>
      <c r="C284" s="6"/>
      <c r="D284" s="6"/>
      <c r="E284" s="6"/>
      <c r="F284" s="6"/>
      <c r="G284" s="6"/>
      <c r="H284" s="23">
        <f t="shared" si="29"/>
        <v>500000</v>
      </c>
      <c r="J284">
        <v>274</v>
      </c>
      <c r="K284" s="4">
        <f t="shared" si="30"/>
        <v>0</v>
      </c>
      <c r="L284" s="4">
        <f t="shared" si="31"/>
        <v>0</v>
      </c>
      <c r="M284" s="4">
        <f t="shared" si="32"/>
        <v>0</v>
      </c>
      <c r="N284" s="4">
        <f t="shared" si="33"/>
        <v>0</v>
      </c>
      <c r="O284" s="4">
        <f t="shared" si="34"/>
        <v>0</v>
      </c>
    </row>
    <row r="285" spans="2:15" x14ac:dyDescent="0.3">
      <c r="B285">
        <v>276</v>
      </c>
      <c r="C285" s="6"/>
      <c r="D285" s="6"/>
      <c r="E285" s="6"/>
      <c r="F285" s="6"/>
      <c r="G285" s="6"/>
      <c r="H285" s="23">
        <f t="shared" si="29"/>
        <v>500000</v>
      </c>
      <c r="J285">
        <v>275</v>
      </c>
      <c r="K285" s="4">
        <f t="shared" si="30"/>
        <v>0</v>
      </c>
      <c r="L285" s="4">
        <f t="shared" si="31"/>
        <v>0</v>
      </c>
      <c r="M285" s="4">
        <f t="shared" si="32"/>
        <v>0</v>
      </c>
      <c r="N285" s="4">
        <f t="shared" si="33"/>
        <v>0</v>
      </c>
      <c r="O285" s="4">
        <f t="shared" si="34"/>
        <v>0</v>
      </c>
    </row>
    <row r="286" spans="2:15" x14ac:dyDescent="0.3">
      <c r="B286">
        <v>277</v>
      </c>
      <c r="C286" s="6"/>
      <c r="D286" s="6"/>
      <c r="E286" s="6"/>
      <c r="F286" s="6"/>
      <c r="G286" s="6"/>
      <c r="H286" s="23">
        <f t="shared" si="29"/>
        <v>500000</v>
      </c>
      <c r="J286">
        <v>276</v>
      </c>
      <c r="K286" s="4">
        <f t="shared" si="30"/>
        <v>0</v>
      </c>
      <c r="L286" s="4">
        <f t="shared" si="31"/>
        <v>0</v>
      </c>
      <c r="M286" s="4">
        <f t="shared" si="32"/>
        <v>0</v>
      </c>
      <c r="N286" s="4">
        <f t="shared" si="33"/>
        <v>0</v>
      </c>
      <c r="O286" s="4">
        <f t="shared" si="34"/>
        <v>0</v>
      </c>
    </row>
    <row r="287" spans="2:15" x14ac:dyDescent="0.3">
      <c r="B287">
        <v>278</v>
      </c>
      <c r="C287" s="6"/>
      <c r="D287" s="6"/>
      <c r="E287" s="6"/>
      <c r="F287" s="6"/>
      <c r="G287" s="6"/>
      <c r="H287" s="23">
        <f t="shared" si="29"/>
        <v>500000</v>
      </c>
      <c r="J287">
        <v>277</v>
      </c>
      <c r="K287" s="4">
        <f t="shared" si="30"/>
        <v>0</v>
      </c>
      <c r="L287" s="4">
        <f t="shared" si="31"/>
        <v>0</v>
      </c>
      <c r="M287" s="4">
        <f t="shared" si="32"/>
        <v>0</v>
      </c>
      <c r="N287" s="4">
        <f t="shared" si="33"/>
        <v>0</v>
      </c>
      <c r="O287" s="4">
        <f t="shared" si="34"/>
        <v>0</v>
      </c>
    </row>
    <row r="288" spans="2:15" x14ac:dyDescent="0.3">
      <c r="B288">
        <v>279</v>
      </c>
      <c r="C288" s="6"/>
      <c r="D288" s="6"/>
      <c r="E288" s="6"/>
      <c r="F288" s="6"/>
      <c r="G288" s="6"/>
      <c r="H288" s="23">
        <f t="shared" si="29"/>
        <v>500000</v>
      </c>
      <c r="J288">
        <v>278</v>
      </c>
      <c r="K288" s="4">
        <f t="shared" si="30"/>
        <v>0</v>
      </c>
      <c r="L288" s="4">
        <f t="shared" si="31"/>
        <v>0</v>
      </c>
      <c r="M288" s="4">
        <f t="shared" si="32"/>
        <v>0</v>
      </c>
      <c r="N288" s="4">
        <f t="shared" si="33"/>
        <v>0</v>
      </c>
      <c r="O288" s="4">
        <f t="shared" si="34"/>
        <v>0</v>
      </c>
    </row>
    <row r="289" spans="2:15" x14ac:dyDescent="0.3">
      <c r="B289">
        <v>280</v>
      </c>
      <c r="C289" s="6"/>
      <c r="D289" s="6"/>
      <c r="E289" s="6"/>
      <c r="F289" s="6"/>
      <c r="G289" s="6"/>
      <c r="H289" s="23">
        <f t="shared" si="29"/>
        <v>500000</v>
      </c>
      <c r="J289">
        <v>279</v>
      </c>
      <c r="K289" s="4">
        <f t="shared" si="30"/>
        <v>0</v>
      </c>
      <c r="L289" s="4">
        <f t="shared" si="31"/>
        <v>0</v>
      </c>
      <c r="M289" s="4">
        <f t="shared" si="32"/>
        <v>0</v>
      </c>
      <c r="N289" s="4">
        <f t="shared" si="33"/>
        <v>0</v>
      </c>
      <c r="O289" s="4">
        <f t="shared" si="34"/>
        <v>0</v>
      </c>
    </row>
    <row r="290" spans="2:15" x14ac:dyDescent="0.3">
      <c r="B290">
        <v>281</v>
      </c>
      <c r="C290" s="6"/>
      <c r="D290" s="6"/>
      <c r="E290" s="6"/>
      <c r="F290" s="6"/>
      <c r="G290" s="6"/>
      <c r="H290" s="23">
        <f t="shared" si="29"/>
        <v>500000</v>
      </c>
      <c r="J290">
        <v>280</v>
      </c>
      <c r="K290" s="4">
        <f t="shared" si="30"/>
        <v>0</v>
      </c>
      <c r="L290" s="4">
        <f t="shared" si="31"/>
        <v>0</v>
      </c>
      <c r="M290" s="4">
        <f t="shared" si="32"/>
        <v>0</v>
      </c>
      <c r="N290" s="4">
        <f t="shared" si="33"/>
        <v>0</v>
      </c>
      <c r="O290" s="4">
        <f t="shared" si="34"/>
        <v>0</v>
      </c>
    </row>
    <row r="291" spans="2:15" x14ac:dyDescent="0.3">
      <c r="B291">
        <v>282</v>
      </c>
      <c r="C291" s="6"/>
      <c r="D291" s="6"/>
      <c r="E291" s="6"/>
      <c r="F291" s="6"/>
      <c r="G291" s="6"/>
      <c r="H291" s="23">
        <f t="shared" si="29"/>
        <v>500000</v>
      </c>
      <c r="J291">
        <v>281</v>
      </c>
      <c r="K291" s="4">
        <f t="shared" si="30"/>
        <v>0</v>
      </c>
      <c r="L291" s="4">
        <f t="shared" si="31"/>
        <v>0</v>
      </c>
      <c r="M291" s="4">
        <f t="shared" si="32"/>
        <v>0</v>
      </c>
      <c r="N291" s="4">
        <f t="shared" si="33"/>
        <v>0</v>
      </c>
      <c r="O291" s="4">
        <f t="shared" si="34"/>
        <v>0</v>
      </c>
    </row>
    <row r="292" spans="2:15" x14ac:dyDescent="0.3">
      <c r="B292">
        <v>283</v>
      </c>
      <c r="C292" s="6"/>
      <c r="D292" s="6"/>
      <c r="E292" s="6"/>
      <c r="F292" s="6"/>
      <c r="G292" s="6"/>
      <c r="H292" s="23">
        <f t="shared" si="29"/>
        <v>500000</v>
      </c>
      <c r="J292">
        <v>282</v>
      </c>
      <c r="K292" s="4">
        <f t="shared" si="30"/>
        <v>0</v>
      </c>
      <c r="L292" s="4">
        <f t="shared" si="31"/>
        <v>0</v>
      </c>
      <c r="M292" s="4">
        <f t="shared" si="32"/>
        <v>0</v>
      </c>
      <c r="N292" s="4">
        <f t="shared" si="33"/>
        <v>0</v>
      </c>
      <c r="O292" s="4">
        <f t="shared" si="34"/>
        <v>0</v>
      </c>
    </row>
    <row r="293" spans="2:15" x14ac:dyDescent="0.3">
      <c r="B293">
        <v>284</v>
      </c>
      <c r="C293" s="6"/>
      <c r="D293" s="6"/>
      <c r="E293" s="6"/>
      <c r="F293" s="6"/>
      <c r="G293" s="6"/>
      <c r="H293" s="23">
        <f t="shared" si="29"/>
        <v>500000</v>
      </c>
      <c r="J293">
        <v>283</v>
      </c>
      <c r="K293" s="4">
        <f t="shared" si="30"/>
        <v>0</v>
      </c>
      <c r="L293" s="4">
        <f t="shared" si="31"/>
        <v>0</v>
      </c>
      <c r="M293" s="4">
        <f t="shared" si="32"/>
        <v>0</v>
      </c>
      <c r="N293" s="4">
        <f t="shared" si="33"/>
        <v>0</v>
      </c>
      <c r="O293" s="4">
        <f t="shared" si="34"/>
        <v>0</v>
      </c>
    </row>
    <row r="294" spans="2:15" x14ac:dyDescent="0.3">
      <c r="B294">
        <v>285</v>
      </c>
      <c r="C294" s="6"/>
      <c r="D294" s="6"/>
      <c r="E294" s="6"/>
      <c r="F294" s="6"/>
      <c r="G294" s="6"/>
      <c r="H294" s="23">
        <f t="shared" si="29"/>
        <v>500000</v>
      </c>
      <c r="J294">
        <v>284</v>
      </c>
      <c r="K294" s="4">
        <f t="shared" si="30"/>
        <v>0</v>
      </c>
      <c r="L294" s="4">
        <f t="shared" si="31"/>
        <v>0</v>
      </c>
      <c r="M294" s="4">
        <f t="shared" si="32"/>
        <v>0</v>
      </c>
      <c r="N294" s="4">
        <f t="shared" si="33"/>
        <v>0</v>
      </c>
      <c r="O294" s="4">
        <f t="shared" si="34"/>
        <v>0</v>
      </c>
    </row>
    <row r="295" spans="2:15" x14ac:dyDescent="0.3">
      <c r="B295">
        <v>286</v>
      </c>
      <c r="C295" s="6"/>
      <c r="D295" s="6"/>
      <c r="E295" s="6"/>
      <c r="F295" s="6"/>
      <c r="G295" s="6"/>
      <c r="H295" s="23">
        <f t="shared" si="29"/>
        <v>500000</v>
      </c>
      <c r="J295">
        <v>285</v>
      </c>
      <c r="K295" s="4">
        <f t="shared" si="30"/>
        <v>0</v>
      </c>
      <c r="L295" s="4">
        <f t="shared" si="31"/>
        <v>0</v>
      </c>
      <c r="M295" s="4">
        <f t="shared" si="32"/>
        <v>0</v>
      </c>
      <c r="N295" s="4">
        <f t="shared" si="33"/>
        <v>0</v>
      </c>
      <c r="O295" s="4">
        <f t="shared" si="34"/>
        <v>0</v>
      </c>
    </row>
    <row r="296" spans="2:15" x14ac:dyDescent="0.3">
      <c r="B296">
        <v>287</v>
      </c>
      <c r="C296" s="6"/>
      <c r="D296" s="6"/>
      <c r="E296" s="6"/>
      <c r="F296" s="6"/>
      <c r="G296" s="6"/>
      <c r="H296" s="23">
        <f t="shared" si="29"/>
        <v>500000</v>
      </c>
      <c r="J296">
        <v>286</v>
      </c>
      <c r="K296" s="4">
        <f t="shared" si="30"/>
        <v>0</v>
      </c>
      <c r="L296" s="4">
        <f t="shared" si="31"/>
        <v>0</v>
      </c>
      <c r="M296" s="4">
        <f t="shared" si="32"/>
        <v>0</v>
      </c>
      <c r="N296" s="4">
        <f t="shared" si="33"/>
        <v>0</v>
      </c>
      <c r="O296" s="4">
        <f t="shared" si="34"/>
        <v>0</v>
      </c>
    </row>
    <row r="297" spans="2:15" x14ac:dyDescent="0.3">
      <c r="B297">
        <v>288</v>
      </c>
      <c r="C297" s="6"/>
      <c r="D297" s="6"/>
      <c r="E297" s="6"/>
      <c r="F297" s="6"/>
      <c r="G297" s="6"/>
      <c r="H297" s="23">
        <f t="shared" si="29"/>
        <v>500000</v>
      </c>
      <c r="J297">
        <v>287</v>
      </c>
      <c r="K297" s="4">
        <f t="shared" si="30"/>
        <v>0</v>
      </c>
      <c r="L297" s="4">
        <f t="shared" si="31"/>
        <v>0</v>
      </c>
      <c r="M297" s="4">
        <f t="shared" si="32"/>
        <v>0</v>
      </c>
      <c r="N297" s="4">
        <f t="shared" si="33"/>
        <v>0</v>
      </c>
      <c r="O297" s="4">
        <f t="shared" si="34"/>
        <v>0</v>
      </c>
    </row>
    <row r="298" spans="2:15" x14ac:dyDescent="0.3">
      <c r="B298">
        <v>289</v>
      </c>
      <c r="C298" s="6"/>
      <c r="D298" s="6"/>
      <c r="E298" s="6"/>
      <c r="F298" s="6"/>
      <c r="G298" s="6"/>
      <c r="H298" s="23">
        <f t="shared" si="29"/>
        <v>500000</v>
      </c>
      <c r="J298">
        <v>288</v>
      </c>
      <c r="K298" s="4">
        <f t="shared" si="30"/>
        <v>0</v>
      </c>
      <c r="L298" s="4">
        <f t="shared" si="31"/>
        <v>0</v>
      </c>
      <c r="M298" s="4">
        <f t="shared" si="32"/>
        <v>0</v>
      </c>
      <c r="N298" s="4">
        <f t="shared" si="33"/>
        <v>0</v>
      </c>
      <c r="O298" s="4">
        <f t="shared" si="34"/>
        <v>0</v>
      </c>
    </row>
    <row r="299" spans="2:15" x14ac:dyDescent="0.3">
      <c r="B299">
        <v>290</v>
      </c>
      <c r="C299" s="6"/>
      <c r="D299" s="6"/>
      <c r="E299" s="6"/>
      <c r="F299" s="6"/>
      <c r="G299" s="6"/>
      <c r="H299" s="23">
        <f t="shared" si="29"/>
        <v>500000</v>
      </c>
      <c r="J299">
        <v>289</v>
      </c>
      <c r="K299" s="4">
        <f t="shared" si="30"/>
        <v>0</v>
      </c>
      <c r="L299" s="4">
        <f t="shared" si="31"/>
        <v>0</v>
      </c>
      <c r="M299" s="4">
        <f t="shared" si="32"/>
        <v>0</v>
      </c>
      <c r="N299" s="4">
        <f t="shared" si="33"/>
        <v>0</v>
      </c>
      <c r="O299" s="4">
        <f t="shared" si="34"/>
        <v>0</v>
      </c>
    </row>
    <row r="300" spans="2:15" x14ac:dyDescent="0.3">
      <c r="B300">
        <v>291</v>
      </c>
      <c r="C300" s="6"/>
      <c r="D300" s="6"/>
      <c r="E300" s="6"/>
      <c r="F300" s="6"/>
      <c r="G300" s="6"/>
      <c r="H300" s="23">
        <f t="shared" si="29"/>
        <v>500000</v>
      </c>
      <c r="J300">
        <v>290</v>
      </c>
      <c r="K300" s="4">
        <f t="shared" si="30"/>
        <v>0</v>
      </c>
      <c r="L300" s="4">
        <f t="shared" si="31"/>
        <v>0</v>
      </c>
      <c r="M300" s="4">
        <f t="shared" si="32"/>
        <v>0</v>
      </c>
      <c r="N300" s="4">
        <f t="shared" si="33"/>
        <v>0</v>
      </c>
      <c r="O300" s="4">
        <f t="shared" si="34"/>
        <v>0</v>
      </c>
    </row>
    <row r="301" spans="2:15" x14ac:dyDescent="0.3">
      <c r="B301">
        <v>292</v>
      </c>
      <c r="C301" s="6"/>
      <c r="D301" s="6"/>
      <c r="E301" s="6"/>
      <c r="F301" s="6"/>
      <c r="G301" s="6"/>
      <c r="H301" s="23">
        <f t="shared" si="29"/>
        <v>500000</v>
      </c>
      <c r="J301">
        <v>291</v>
      </c>
      <c r="K301" s="4">
        <f t="shared" si="30"/>
        <v>0</v>
      </c>
      <c r="L301" s="4">
        <f t="shared" si="31"/>
        <v>0</v>
      </c>
      <c r="M301" s="4">
        <f t="shared" si="32"/>
        <v>0</v>
      </c>
      <c r="N301" s="4">
        <f t="shared" si="33"/>
        <v>0</v>
      </c>
      <c r="O301" s="4">
        <f t="shared" si="34"/>
        <v>0</v>
      </c>
    </row>
    <row r="302" spans="2:15" x14ac:dyDescent="0.3">
      <c r="B302">
        <v>293</v>
      </c>
      <c r="C302" s="6"/>
      <c r="D302" s="6"/>
      <c r="E302" s="6"/>
      <c r="F302" s="6"/>
      <c r="G302" s="6"/>
      <c r="H302" s="23">
        <f t="shared" si="29"/>
        <v>500000</v>
      </c>
      <c r="J302">
        <v>292</v>
      </c>
      <c r="K302" s="4">
        <f t="shared" si="30"/>
        <v>0</v>
      </c>
      <c r="L302" s="4">
        <f t="shared" si="31"/>
        <v>0</v>
      </c>
      <c r="M302" s="4">
        <f t="shared" si="32"/>
        <v>0</v>
      </c>
      <c r="N302" s="4">
        <f t="shared" si="33"/>
        <v>0</v>
      </c>
      <c r="O302" s="4">
        <f t="shared" si="34"/>
        <v>0</v>
      </c>
    </row>
    <row r="303" spans="2:15" x14ac:dyDescent="0.3">
      <c r="B303">
        <v>294</v>
      </c>
      <c r="C303" s="6"/>
      <c r="D303" s="6"/>
      <c r="E303" s="6"/>
      <c r="F303" s="6"/>
      <c r="G303" s="6"/>
      <c r="H303" s="23">
        <f t="shared" si="29"/>
        <v>500000</v>
      </c>
      <c r="J303">
        <v>293</v>
      </c>
      <c r="K303" s="4">
        <f t="shared" si="30"/>
        <v>0</v>
      </c>
      <c r="L303" s="4">
        <f t="shared" si="31"/>
        <v>0</v>
      </c>
      <c r="M303" s="4">
        <f t="shared" si="32"/>
        <v>0</v>
      </c>
      <c r="N303" s="4">
        <f t="shared" si="33"/>
        <v>0</v>
      </c>
      <c r="O303" s="4">
        <f t="shared" si="34"/>
        <v>0</v>
      </c>
    </row>
    <row r="304" spans="2:15" x14ac:dyDescent="0.3">
      <c r="B304">
        <v>295</v>
      </c>
      <c r="C304" s="6"/>
      <c r="D304" s="6"/>
      <c r="E304" s="6"/>
      <c r="F304" s="6"/>
      <c r="G304" s="6"/>
      <c r="H304" s="23">
        <f t="shared" si="29"/>
        <v>500000</v>
      </c>
      <c r="J304">
        <v>294</v>
      </c>
      <c r="K304" s="4">
        <f t="shared" si="30"/>
        <v>0</v>
      </c>
      <c r="L304" s="4">
        <f t="shared" si="31"/>
        <v>0</v>
      </c>
      <c r="M304" s="4">
        <f t="shared" si="32"/>
        <v>0</v>
      </c>
      <c r="N304" s="4">
        <f t="shared" si="33"/>
        <v>0</v>
      </c>
      <c r="O304" s="4">
        <f t="shared" si="34"/>
        <v>0</v>
      </c>
    </row>
    <row r="305" spans="2:15" x14ac:dyDescent="0.3">
      <c r="B305">
        <v>296</v>
      </c>
      <c r="C305" s="6"/>
      <c r="D305" s="6"/>
      <c r="E305" s="6"/>
      <c r="F305" s="6"/>
      <c r="G305" s="6"/>
      <c r="H305" s="23">
        <f t="shared" si="29"/>
        <v>500000</v>
      </c>
      <c r="J305">
        <v>295</v>
      </c>
      <c r="K305" s="4">
        <f t="shared" si="30"/>
        <v>0</v>
      </c>
      <c r="L305" s="4">
        <f t="shared" si="31"/>
        <v>0</v>
      </c>
      <c r="M305" s="4">
        <f t="shared" si="32"/>
        <v>0</v>
      </c>
      <c r="N305" s="4">
        <f t="shared" si="33"/>
        <v>0</v>
      </c>
      <c r="O305" s="4">
        <f t="shared" si="34"/>
        <v>0</v>
      </c>
    </row>
    <row r="306" spans="2:15" x14ac:dyDescent="0.3">
      <c r="B306">
        <v>297</v>
      </c>
      <c r="C306" s="6"/>
      <c r="D306" s="6"/>
      <c r="E306" s="6"/>
      <c r="F306" s="6"/>
      <c r="G306" s="6"/>
      <c r="H306" s="23">
        <f t="shared" si="29"/>
        <v>500000</v>
      </c>
      <c r="J306">
        <v>296</v>
      </c>
      <c r="K306" s="4">
        <f t="shared" si="30"/>
        <v>0</v>
      </c>
      <c r="L306" s="4">
        <f t="shared" si="31"/>
        <v>0</v>
      </c>
      <c r="M306" s="4">
        <f t="shared" si="32"/>
        <v>0</v>
      </c>
      <c r="N306" s="4">
        <f t="shared" si="33"/>
        <v>0</v>
      </c>
      <c r="O306" s="4">
        <f t="shared" si="34"/>
        <v>0</v>
      </c>
    </row>
    <row r="307" spans="2:15" x14ac:dyDescent="0.3">
      <c r="B307">
        <v>298</v>
      </c>
      <c r="C307" s="6"/>
      <c r="D307" s="6"/>
      <c r="E307" s="6"/>
      <c r="F307" s="6"/>
      <c r="G307" s="6"/>
      <c r="H307" s="23">
        <f t="shared" si="29"/>
        <v>500000</v>
      </c>
      <c r="J307">
        <v>297</v>
      </c>
      <c r="K307" s="4">
        <f t="shared" si="30"/>
        <v>0</v>
      </c>
      <c r="L307" s="4">
        <f t="shared" si="31"/>
        <v>0</v>
      </c>
      <c r="M307" s="4">
        <f t="shared" si="32"/>
        <v>0</v>
      </c>
      <c r="N307" s="4">
        <f t="shared" si="33"/>
        <v>0</v>
      </c>
      <c r="O307" s="4">
        <f t="shared" si="34"/>
        <v>0</v>
      </c>
    </row>
    <row r="308" spans="2:15" x14ac:dyDescent="0.3">
      <c r="B308">
        <v>299</v>
      </c>
      <c r="C308" s="6"/>
      <c r="D308" s="6"/>
      <c r="E308" s="6"/>
      <c r="F308" s="6"/>
      <c r="G308" s="6"/>
      <c r="H308" s="23">
        <f t="shared" si="29"/>
        <v>500000</v>
      </c>
      <c r="J308">
        <v>298</v>
      </c>
      <c r="K308" s="4">
        <f t="shared" si="30"/>
        <v>0</v>
      </c>
      <c r="L308" s="4">
        <f t="shared" si="31"/>
        <v>0</v>
      </c>
      <c r="M308" s="4">
        <f t="shared" si="32"/>
        <v>0</v>
      </c>
      <c r="N308" s="4">
        <f t="shared" si="33"/>
        <v>0</v>
      </c>
      <c r="O308" s="4">
        <f t="shared" si="34"/>
        <v>0</v>
      </c>
    </row>
    <row r="309" spans="2:15" x14ac:dyDescent="0.3">
      <c r="B309">
        <v>300</v>
      </c>
      <c r="C309" s="6"/>
      <c r="D309" s="6"/>
      <c r="E309" s="6"/>
      <c r="F309" s="6"/>
      <c r="G309" s="6"/>
      <c r="H309" s="23">
        <f t="shared" si="29"/>
        <v>500000</v>
      </c>
      <c r="J309">
        <v>299</v>
      </c>
      <c r="K309" s="4">
        <f t="shared" si="30"/>
        <v>0</v>
      </c>
      <c r="L309" s="4">
        <f t="shared" si="31"/>
        <v>0</v>
      </c>
      <c r="M309" s="4">
        <f t="shared" si="32"/>
        <v>0</v>
      </c>
      <c r="N309" s="4">
        <f t="shared" si="33"/>
        <v>0</v>
      </c>
      <c r="O309" s="4">
        <f t="shared" si="34"/>
        <v>0</v>
      </c>
    </row>
    <row r="310" spans="2:15" x14ac:dyDescent="0.3">
      <c r="B310">
        <v>301</v>
      </c>
      <c r="C310" s="6"/>
      <c r="D310" s="6"/>
      <c r="E310" s="6"/>
      <c r="F310" s="6"/>
      <c r="G310" s="6"/>
      <c r="H310" s="23">
        <f t="shared" si="29"/>
        <v>500000</v>
      </c>
      <c r="J310">
        <v>300</v>
      </c>
      <c r="K310" s="4">
        <f t="shared" si="30"/>
        <v>0</v>
      </c>
      <c r="L310" s="4">
        <f t="shared" si="31"/>
        <v>0</v>
      </c>
      <c r="M310" s="4">
        <f t="shared" si="32"/>
        <v>0</v>
      </c>
      <c r="N310" s="4">
        <f t="shared" si="33"/>
        <v>0</v>
      </c>
      <c r="O310" s="4">
        <f t="shared" si="34"/>
        <v>0</v>
      </c>
    </row>
    <row r="311" spans="2:15" x14ac:dyDescent="0.3">
      <c r="B311">
        <v>302</v>
      </c>
      <c r="C311" s="6"/>
      <c r="D311" s="6"/>
      <c r="E311" s="6"/>
      <c r="F311" s="6"/>
      <c r="G311" s="6"/>
      <c r="H311" s="23">
        <f t="shared" si="29"/>
        <v>500000</v>
      </c>
      <c r="J311">
        <v>301</v>
      </c>
      <c r="K311" s="4">
        <f t="shared" si="30"/>
        <v>0</v>
      </c>
      <c r="L311" s="4">
        <f t="shared" si="31"/>
        <v>0</v>
      </c>
      <c r="M311" s="4">
        <f t="shared" si="32"/>
        <v>0</v>
      </c>
      <c r="N311" s="4">
        <f t="shared" si="33"/>
        <v>0</v>
      </c>
      <c r="O311" s="4">
        <f t="shared" si="34"/>
        <v>0</v>
      </c>
    </row>
    <row r="312" spans="2:15" x14ac:dyDescent="0.3">
      <c r="B312">
        <v>303</v>
      </c>
      <c r="C312" s="6"/>
      <c r="D312" s="6"/>
      <c r="E312" s="6"/>
      <c r="F312" s="6"/>
      <c r="G312" s="6"/>
      <c r="H312" s="23">
        <f t="shared" si="29"/>
        <v>500000</v>
      </c>
      <c r="J312">
        <v>302</v>
      </c>
      <c r="K312" s="4">
        <f t="shared" si="30"/>
        <v>0</v>
      </c>
      <c r="L312" s="4">
        <f t="shared" si="31"/>
        <v>0</v>
      </c>
      <c r="M312" s="4">
        <f t="shared" si="32"/>
        <v>0</v>
      </c>
      <c r="N312" s="4">
        <f t="shared" si="33"/>
        <v>0</v>
      </c>
      <c r="O312" s="4">
        <f t="shared" si="34"/>
        <v>0</v>
      </c>
    </row>
    <row r="313" spans="2:15" x14ac:dyDescent="0.3">
      <c r="B313">
        <v>304</v>
      </c>
      <c r="C313" s="6"/>
      <c r="D313" s="6"/>
      <c r="E313" s="6"/>
      <c r="F313" s="6"/>
      <c r="G313" s="6"/>
      <c r="H313" s="23">
        <f t="shared" si="29"/>
        <v>500000</v>
      </c>
      <c r="J313">
        <v>303</v>
      </c>
      <c r="K313" s="4">
        <f t="shared" si="30"/>
        <v>0</v>
      </c>
      <c r="L313" s="4">
        <f t="shared" si="31"/>
        <v>0</v>
      </c>
      <c r="M313" s="4">
        <f t="shared" si="32"/>
        <v>0</v>
      </c>
      <c r="N313" s="4">
        <f t="shared" si="33"/>
        <v>0</v>
      </c>
      <c r="O313" s="4">
        <f t="shared" si="34"/>
        <v>0</v>
      </c>
    </row>
    <row r="314" spans="2:15" x14ac:dyDescent="0.3">
      <c r="B314">
        <v>305</v>
      </c>
      <c r="C314" s="6"/>
      <c r="D314" s="6"/>
      <c r="E314" s="6"/>
      <c r="F314" s="6"/>
      <c r="G314" s="6"/>
      <c r="H314" s="23">
        <f t="shared" si="29"/>
        <v>500000</v>
      </c>
      <c r="J314">
        <v>304</v>
      </c>
      <c r="K314" s="4">
        <f t="shared" si="30"/>
        <v>0</v>
      </c>
      <c r="L314" s="4">
        <f t="shared" si="31"/>
        <v>0</v>
      </c>
      <c r="M314" s="4">
        <f t="shared" si="32"/>
        <v>0</v>
      </c>
      <c r="N314" s="4">
        <f t="shared" si="33"/>
        <v>0</v>
      </c>
      <c r="O314" s="4">
        <f t="shared" si="34"/>
        <v>0</v>
      </c>
    </row>
    <row r="315" spans="2:15" x14ac:dyDescent="0.3">
      <c r="B315">
        <v>306</v>
      </c>
      <c r="C315" s="6"/>
      <c r="D315" s="6"/>
      <c r="E315" s="6"/>
      <c r="F315" s="6"/>
      <c r="G315" s="6"/>
      <c r="H315" s="23">
        <f t="shared" si="29"/>
        <v>500000</v>
      </c>
      <c r="J315">
        <v>305</v>
      </c>
      <c r="K315" s="4">
        <f t="shared" si="30"/>
        <v>0</v>
      </c>
      <c r="L315" s="4">
        <f t="shared" si="31"/>
        <v>0</v>
      </c>
      <c r="M315" s="4">
        <f t="shared" si="32"/>
        <v>0</v>
      </c>
      <c r="N315" s="4">
        <f t="shared" si="33"/>
        <v>0</v>
      </c>
      <c r="O315" s="4">
        <f t="shared" si="34"/>
        <v>0</v>
      </c>
    </row>
    <row r="316" spans="2:15" x14ac:dyDescent="0.3">
      <c r="B316">
        <v>307</v>
      </c>
      <c r="C316" s="6"/>
      <c r="D316" s="6"/>
      <c r="E316" s="6"/>
      <c r="F316" s="6"/>
      <c r="G316" s="6"/>
      <c r="H316" s="23">
        <f t="shared" si="29"/>
        <v>500000</v>
      </c>
      <c r="J316">
        <v>306</v>
      </c>
      <c r="K316" s="4">
        <f t="shared" si="30"/>
        <v>0</v>
      </c>
      <c r="L316" s="4">
        <f t="shared" si="31"/>
        <v>0</v>
      </c>
      <c r="M316" s="4">
        <f t="shared" si="32"/>
        <v>0</v>
      </c>
      <c r="N316" s="4">
        <f t="shared" si="33"/>
        <v>0</v>
      </c>
      <c r="O316" s="4">
        <f t="shared" si="34"/>
        <v>0</v>
      </c>
    </row>
    <row r="317" spans="2:15" x14ac:dyDescent="0.3">
      <c r="B317">
        <v>308</v>
      </c>
      <c r="C317" s="6"/>
      <c r="D317" s="6"/>
      <c r="E317" s="6"/>
      <c r="F317" s="6"/>
      <c r="G317" s="6"/>
      <c r="H317" s="23">
        <f t="shared" si="29"/>
        <v>500000</v>
      </c>
      <c r="J317">
        <v>307</v>
      </c>
      <c r="K317" s="4">
        <f t="shared" si="30"/>
        <v>0</v>
      </c>
      <c r="L317" s="4">
        <f t="shared" si="31"/>
        <v>0</v>
      </c>
      <c r="M317" s="4">
        <f t="shared" si="32"/>
        <v>0</v>
      </c>
      <c r="N317" s="4">
        <f t="shared" si="33"/>
        <v>0</v>
      </c>
      <c r="O317" s="4">
        <f t="shared" si="34"/>
        <v>0</v>
      </c>
    </row>
    <row r="318" spans="2:15" x14ac:dyDescent="0.3">
      <c r="B318">
        <v>309</v>
      </c>
      <c r="C318" s="6"/>
      <c r="D318" s="6"/>
      <c r="E318" s="6"/>
      <c r="F318" s="6"/>
      <c r="G318" s="6"/>
      <c r="H318" s="23">
        <f t="shared" si="29"/>
        <v>500000</v>
      </c>
      <c r="J318">
        <v>308</v>
      </c>
      <c r="K318" s="4">
        <f t="shared" si="30"/>
        <v>0</v>
      </c>
      <c r="L318" s="4">
        <f t="shared" si="31"/>
        <v>0</v>
      </c>
      <c r="M318" s="4">
        <f t="shared" si="32"/>
        <v>0</v>
      </c>
      <c r="N318" s="4">
        <f t="shared" si="33"/>
        <v>0</v>
      </c>
      <c r="O318" s="4">
        <f t="shared" si="34"/>
        <v>0</v>
      </c>
    </row>
    <row r="319" spans="2:15" x14ac:dyDescent="0.3">
      <c r="B319">
        <v>310</v>
      </c>
      <c r="C319" s="6"/>
      <c r="D319" s="6"/>
      <c r="E319" s="6"/>
      <c r="F319" s="6"/>
      <c r="G319" s="6"/>
      <c r="H319" s="23">
        <f t="shared" si="29"/>
        <v>500000</v>
      </c>
      <c r="J319">
        <v>309</v>
      </c>
      <c r="K319" s="4">
        <f t="shared" si="30"/>
        <v>0</v>
      </c>
      <c r="L319" s="4">
        <f t="shared" si="31"/>
        <v>0</v>
      </c>
      <c r="M319" s="4">
        <f t="shared" si="32"/>
        <v>0</v>
      </c>
      <c r="N319" s="4">
        <f t="shared" si="33"/>
        <v>0</v>
      </c>
      <c r="O319" s="4">
        <f t="shared" si="34"/>
        <v>0</v>
      </c>
    </row>
    <row r="320" spans="2:15" x14ac:dyDescent="0.3">
      <c r="B320">
        <v>311</v>
      </c>
      <c r="C320" s="6"/>
      <c r="D320" s="6"/>
      <c r="E320" s="6"/>
      <c r="F320" s="6"/>
      <c r="G320" s="6"/>
      <c r="H320" s="23">
        <f t="shared" si="29"/>
        <v>500000</v>
      </c>
      <c r="J320">
        <v>310</v>
      </c>
      <c r="K320" s="4">
        <f t="shared" si="30"/>
        <v>0</v>
      </c>
      <c r="L320" s="4">
        <f t="shared" si="31"/>
        <v>0</v>
      </c>
      <c r="M320" s="4">
        <f t="shared" si="32"/>
        <v>0</v>
      </c>
      <c r="N320" s="4">
        <f t="shared" si="33"/>
        <v>0</v>
      </c>
      <c r="O320" s="4">
        <f t="shared" si="34"/>
        <v>0</v>
      </c>
    </row>
    <row r="321" spans="2:15" x14ac:dyDescent="0.3">
      <c r="B321">
        <v>312</v>
      </c>
      <c r="C321" s="6"/>
      <c r="D321" s="6"/>
      <c r="E321" s="6"/>
      <c r="F321" s="6"/>
      <c r="G321" s="6"/>
      <c r="H321" s="23">
        <f t="shared" si="29"/>
        <v>500000</v>
      </c>
      <c r="J321">
        <v>311</v>
      </c>
      <c r="K321" s="4">
        <f t="shared" si="30"/>
        <v>0</v>
      </c>
      <c r="L321" s="4">
        <f t="shared" si="31"/>
        <v>0</v>
      </c>
      <c r="M321" s="4">
        <f t="shared" si="32"/>
        <v>0</v>
      </c>
      <c r="N321" s="4">
        <f t="shared" si="33"/>
        <v>0</v>
      </c>
      <c r="O321" s="4">
        <f t="shared" si="34"/>
        <v>0</v>
      </c>
    </row>
    <row r="322" spans="2:15" x14ac:dyDescent="0.3">
      <c r="B322">
        <v>313</v>
      </c>
      <c r="C322" s="6"/>
      <c r="D322" s="6"/>
      <c r="E322" s="6"/>
      <c r="F322" s="6"/>
      <c r="G322" s="6"/>
      <c r="H322" s="23">
        <f t="shared" si="29"/>
        <v>500000</v>
      </c>
      <c r="J322">
        <v>312</v>
      </c>
      <c r="K322" s="4">
        <f t="shared" si="30"/>
        <v>0</v>
      </c>
      <c r="L322" s="4">
        <f t="shared" si="31"/>
        <v>0</v>
      </c>
      <c r="M322" s="4">
        <f t="shared" si="32"/>
        <v>0</v>
      </c>
      <c r="N322" s="4">
        <f t="shared" si="33"/>
        <v>0</v>
      </c>
      <c r="O322" s="4">
        <f t="shared" si="34"/>
        <v>0</v>
      </c>
    </row>
    <row r="323" spans="2:15" x14ac:dyDescent="0.3">
      <c r="B323">
        <v>314</v>
      </c>
      <c r="C323" s="6"/>
      <c r="D323" s="6"/>
      <c r="E323" s="6"/>
      <c r="F323" s="6"/>
      <c r="G323" s="6"/>
      <c r="H323" s="23">
        <f t="shared" si="29"/>
        <v>500000</v>
      </c>
      <c r="J323">
        <v>313</v>
      </c>
      <c r="K323" s="4">
        <f t="shared" si="30"/>
        <v>0</v>
      </c>
      <c r="L323" s="4">
        <f t="shared" si="31"/>
        <v>0</v>
      </c>
      <c r="M323" s="4">
        <f t="shared" si="32"/>
        <v>0</v>
      </c>
      <c r="N323" s="4">
        <f t="shared" si="33"/>
        <v>0</v>
      </c>
      <c r="O323" s="4">
        <f t="shared" si="34"/>
        <v>0</v>
      </c>
    </row>
    <row r="324" spans="2:15" x14ac:dyDescent="0.3">
      <c r="B324">
        <v>315</v>
      </c>
      <c r="C324" s="6"/>
      <c r="D324" s="6"/>
      <c r="E324" s="6"/>
      <c r="F324" s="6"/>
      <c r="G324" s="6"/>
      <c r="H324" s="23">
        <f t="shared" si="29"/>
        <v>500000</v>
      </c>
      <c r="J324">
        <v>314</v>
      </c>
      <c r="K324" s="4">
        <f t="shared" si="30"/>
        <v>0</v>
      </c>
      <c r="L324" s="4">
        <f t="shared" si="31"/>
        <v>0</v>
      </c>
      <c r="M324" s="4">
        <f t="shared" si="32"/>
        <v>0</v>
      </c>
      <c r="N324" s="4">
        <f t="shared" si="33"/>
        <v>0</v>
      </c>
      <c r="O324" s="4">
        <f t="shared" si="34"/>
        <v>0</v>
      </c>
    </row>
    <row r="325" spans="2:15" x14ac:dyDescent="0.3">
      <c r="B325">
        <v>316</v>
      </c>
      <c r="C325" s="6"/>
      <c r="D325" s="6"/>
      <c r="E325" s="6"/>
      <c r="F325" s="6"/>
      <c r="G325" s="6"/>
      <c r="H325" s="23">
        <f t="shared" si="29"/>
        <v>500000</v>
      </c>
      <c r="J325">
        <v>315</v>
      </c>
      <c r="K325" s="4">
        <f t="shared" si="30"/>
        <v>0</v>
      </c>
      <c r="L325" s="4">
        <f t="shared" si="31"/>
        <v>0</v>
      </c>
      <c r="M325" s="4">
        <f t="shared" si="32"/>
        <v>0</v>
      </c>
      <c r="N325" s="4">
        <f t="shared" si="33"/>
        <v>0</v>
      </c>
      <c r="O325" s="4">
        <f t="shared" si="34"/>
        <v>0</v>
      </c>
    </row>
    <row r="326" spans="2:15" x14ac:dyDescent="0.3">
      <c r="B326">
        <v>317</v>
      </c>
      <c r="C326" s="6"/>
      <c r="D326" s="6"/>
      <c r="E326" s="6"/>
      <c r="F326" s="6"/>
      <c r="G326" s="6"/>
      <c r="H326" s="23">
        <f t="shared" ref="H326:H389" si="35">F326+H325</f>
        <v>500000</v>
      </c>
      <c r="J326">
        <v>316</v>
      </c>
      <c r="K326" s="4">
        <f t="shared" si="30"/>
        <v>0</v>
      </c>
      <c r="L326" s="4">
        <f t="shared" si="31"/>
        <v>0</v>
      </c>
      <c r="M326" s="4">
        <f t="shared" si="32"/>
        <v>0</v>
      </c>
      <c r="N326" s="4">
        <f t="shared" si="33"/>
        <v>0</v>
      </c>
      <c r="O326" s="4">
        <f t="shared" si="34"/>
        <v>0</v>
      </c>
    </row>
    <row r="327" spans="2:15" x14ac:dyDescent="0.3">
      <c r="B327">
        <v>318</v>
      </c>
      <c r="C327" s="6"/>
      <c r="D327" s="6"/>
      <c r="E327" s="6"/>
      <c r="F327" s="6"/>
      <c r="G327" s="6"/>
      <c r="H327" s="23">
        <f t="shared" si="35"/>
        <v>500000</v>
      </c>
      <c r="J327">
        <v>317</v>
      </c>
      <c r="K327" s="4">
        <f t="shared" si="30"/>
        <v>0</v>
      </c>
      <c r="L327" s="4">
        <f t="shared" si="31"/>
        <v>0</v>
      </c>
      <c r="M327" s="4">
        <f t="shared" si="32"/>
        <v>0</v>
      </c>
      <c r="N327" s="4">
        <f t="shared" si="33"/>
        <v>0</v>
      </c>
      <c r="O327" s="4">
        <f t="shared" si="34"/>
        <v>0</v>
      </c>
    </row>
    <row r="328" spans="2:15" x14ac:dyDescent="0.3">
      <c r="B328">
        <v>319</v>
      </c>
      <c r="C328" s="6"/>
      <c r="D328" s="6"/>
      <c r="E328" s="6"/>
      <c r="F328" s="6"/>
      <c r="G328" s="6"/>
      <c r="H328" s="23">
        <f t="shared" si="35"/>
        <v>500000</v>
      </c>
      <c r="J328">
        <v>318</v>
      </c>
      <c r="K328" s="4">
        <f t="shared" si="30"/>
        <v>0</v>
      </c>
      <c r="L328" s="4">
        <f t="shared" si="31"/>
        <v>0</v>
      </c>
      <c r="M328" s="4">
        <f t="shared" si="32"/>
        <v>0</v>
      </c>
      <c r="N328" s="4">
        <f t="shared" si="33"/>
        <v>0</v>
      </c>
      <c r="O328" s="4">
        <f t="shared" si="34"/>
        <v>0</v>
      </c>
    </row>
    <row r="329" spans="2:15" x14ac:dyDescent="0.3">
      <c r="B329">
        <v>320</v>
      </c>
      <c r="C329" s="6"/>
      <c r="D329" s="6"/>
      <c r="E329" s="6"/>
      <c r="F329" s="6"/>
      <c r="G329" s="6"/>
      <c r="H329" s="23">
        <f t="shared" si="35"/>
        <v>500000</v>
      </c>
      <c r="J329">
        <v>319</v>
      </c>
      <c r="K329" s="4">
        <f t="shared" si="30"/>
        <v>0</v>
      </c>
      <c r="L329" s="4">
        <f t="shared" si="31"/>
        <v>0</v>
      </c>
      <c r="M329" s="4">
        <f t="shared" si="32"/>
        <v>0</v>
      </c>
      <c r="N329" s="4">
        <f t="shared" si="33"/>
        <v>0</v>
      </c>
      <c r="O329" s="4">
        <f t="shared" si="34"/>
        <v>0</v>
      </c>
    </row>
    <row r="330" spans="2:15" x14ac:dyDescent="0.3">
      <c r="B330">
        <v>321</v>
      </c>
      <c r="C330" s="6"/>
      <c r="D330" s="6"/>
      <c r="E330" s="6"/>
      <c r="F330" s="6"/>
      <c r="G330" s="6"/>
      <c r="H330" s="23">
        <f t="shared" si="35"/>
        <v>500000</v>
      </c>
      <c r="J330">
        <v>320</v>
      </c>
      <c r="K330" s="4">
        <f t="shared" si="30"/>
        <v>0</v>
      </c>
      <c r="L330" s="4">
        <f t="shared" si="31"/>
        <v>0</v>
      </c>
      <c r="M330" s="4">
        <f t="shared" si="32"/>
        <v>0</v>
      </c>
      <c r="N330" s="4">
        <f t="shared" si="33"/>
        <v>0</v>
      </c>
      <c r="O330" s="4">
        <f t="shared" si="34"/>
        <v>0</v>
      </c>
    </row>
    <row r="331" spans="2:15" x14ac:dyDescent="0.3">
      <c r="B331">
        <v>322</v>
      </c>
      <c r="C331" s="6"/>
      <c r="D331" s="6"/>
      <c r="E331" s="6"/>
      <c r="F331" s="6"/>
      <c r="G331" s="6"/>
      <c r="H331" s="23">
        <f t="shared" si="35"/>
        <v>500000</v>
      </c>
      <c r="J331">
        <v>321</v>
      </c>
      <c r="K331" s="4">
        <f t="shared" si="30"/>
        <v>0</v>
      </c>
      <c r="L331" s="4">
        <f t="shared" si="31"/>
        <v>0</v>
      </c>
      <c r="M331" s="4">
        <f t="shared" si="32"/>
        <v>0</v>
      </c>
      <c r="N331" s="4">
        <f t="shared" si="33"/>
        <v>0</v>
      </c>
      <c r="O331" s="4">
        <f t="shared" si="34"/>
        <v>0</v>
      </c>
    </row>
    <row r="332" spans="2:15" x14ac:dyDescent="0.3">
      <c r="B332">
        <v>323</v>
      </c>
      <c r="C332" s="6"/>
      <c r="D332" s="6"/>
      <c r="E332" s="6"/>
      <c r="F332" s="6"/>
      <c r="G332" s="6"/>
      <c r="H332" s="23">
        <f t="shared" si="35"/>
        <v>500000</v>
      </c>
      <c r="J332">
        <v>322</v>
      </c>
      <c r="K332" s="4">
        <f t="shared" ref="K332:K395" si="36">IF(J332&gt;($M$3+$F$3),L332+M332,$C$5)</f>
        <v>0</v>
      </c>
      <c r="L332" s="4">
        <f t="shared" ref="L332:L395" si="37">O331*$C$3</f>
        <v>0</v>
      </c>
      <c r="M332" s="4">
        <f t="shared" ref="M332:M395" si="38">IF(J332&lt;($M$3+$F$3),K332-L332,O331)</f>
        <v>0</v>
      </c>
      <c r="N332" s="4">
        <f t="shared" ref="N332:N395" si="39">IF(B331=$F$3,$F$2,0)</f>
        <v>0</v>
      </c>
      <c r="O332" s="4">
        <f t="shared" ref="O332:O395" si="40">O331-M332-N332</f>
        <v>0</v>
      </c>
    </row>
    <row r="333" spans="2:15" x14ac:dyDescent="0.3">
      <c r="B333">
        <v>324</v>
      </c>
      <c r="C333" s="6"/>
      <c r="D333" s="6"/>
      <c r="E333" s="6"/>
      <c r="F333" s="6"/>
      <c r="G333" s="6"/>
      <c r="H333" s="23">
        <f t="shared" si="35"/>
        <v>500000</v>
      </c>
      <c r="J333">
        <v>323</v>
      </c>
      <c r="K333" s="4">
        <f t="shared" si="36"/>
        <v>0</v>
      </c>
      <c r="L333" s="4">
        <f t="shared" si="37"/>
        <v>0</v>
      </c>
      <c r="M333" s="4">
        <f t="shared" si="38"/>
        <v>0</v>
      </c>
      <c r="N333" s="4">
        <f t="shared" si="39"/>
        <v>0</v>
      </c>
      <c r="O333" s="4">
        <f t="shared" si="40"/>
        <v>0</v>
      </c>
    </row>
    <row r="334" spans="2:15" x14ac:dyDescent="0.3">
      <c r="B334">
        <v>325</v>
      </c>
      <c r="C334" s="6"/>
      <c r="D334" s="6"/>
      <c r="E334" s="6"/>
      <c r="F334" s="6"/>
      <c r="G334" s="6"/>
      <c r="H334" s="23">
        <f t="shared" si="35"/>
        <v>500000</v>
      </c>
      <c r="J334">
        <v>324</v>
      </c>
      <c r="K334" s="4">
        <f t="shared" si="36"/>
        <v>0</v>
      </c>
      <c r="L334" s="4">
        <f t="shared" si="37"/>
        <v>0</v>
      </c>
      <c r="M334" s="4">
        <f t="shared" si="38"/>
        <v>0</v>
      </c>
      <c r="N334" s="4">
        <f t="shared" si="39"/>
        <v>0</v>
      </c>
      <c r="O334" s="4">
        <f t="shared" si="40"/>
        <v>0</v>
      </c>
    </row>
    <row r="335" spans="2:15" x14ac:dyDescent="0.3">
      <c r="B335">
        <v>326</v>
      </c>
      <c r="C335" s="6"/>
      <c r="D335" s="6"/>
      <c r="E335" s="6"/>
      <c r="F335" s="6"/>
      <c r="G335" s="6"/>
      <c r="H335" s="23">
        <f t="shared" si="35"/>
        <v>500000</v>
      </c>
      <c r="J335">
        <v>325</v>
      </c>
      <c r="K335" s="4">
        <f t="shared" si="36"/>
        <v>0</v>
      </c>
      <c r="L335" s="4">
        <f t="shared" si="37"/>
        <v>0</v>
      </c>
      <c r="M335" s="4">
        <f t="shared" si="38"/>
        <v>0</v>
      </c>
      <c r="N335" s="4">
        <f t="shared" si="39"/>
        <v>0</v>
      </c>
      <c r="O335" s="4">
        <f t="shared" si="40"/>
        <v>0</v>
      </c>
    </row>
    <row r="336" spans="2:15" x14ac:dyDescent="0.3">
      <c r="B336">
        <v>327</v>
      </c>
      <c r="C336" s="6"/>
      <c r="D336" s="6"/>
      <c r="E336" s="6"/>
      <c r="F336" s="6"/>
      <c r="G336" s="6"/>
      <c r="H336" s="23">
        <f t="shared" si="35"/>
        <v>500000</v>
      </c>
      <c r="J336">
        <v>326</v>
      </c>
      <c r="K336" s="4">
        <f t="shared" si="36"/>
        <v>0</v>
      </c>
      <c r="L336" s="4">
        <f t="shared" si="37"/>
        <v>0</v>
      </c>
      <c r="M336" s="4">
        <f t="shared" si="38"/>
        <v>0</v>
      </c>
      <c r="N336" s="4">
        <f t="shared" si="39"/>
        <v>0</v>
      </c>
      <c r="O336" s="4">
        <f t="shared" si="40"/>
        <v>0</v>
      </c>
    </row>
    <row r="337" spans="2:15" x14ac:dyDescent="0.3">
      <c r="B337">
        <v>328</v>
      </c>
      <c r="C337" s="6"/>
      <c r="D337" s="6"/>
      <c r="E337" s="6"/>
      <c r="F337" s="6"/>
      <c r="G337" s="6"/>
      <c r="H337" s="23">
        <f t="shared" si="35"/>
        <v>500000</v>
      </c>
      <c r="J337">
        <v>327</v>
      </c>
      <c r="K337" s="4">
        <f t="shared" si="36"/>
        <v>0</v>
      </c>
      <c r="L337" s="4">
        <f t="shared" si="37"/>
        <v>0</v>
      </c>
      <c r="M337" s="4">
        <f t="shared" si="38"/>
        <v>0</v>
      </c>
      <c r="N337" s="4">
        <f t="shared" si="39"/>
        <v>0</v>
      </c>
      <c r="O337" s="4">
        <f t="shared" si="40"/>
        <v>0</v>
      </c>
    </row>
    <row r="338" spans="2:15" x14ac:dyDescent="0.3">
      <c r="B338">
        <v>329</v>
      </c>
      <c r="C338" s="6"/>
      <c r="D338" s="6"/>
      <c r="E338" s="6"/>
      <c r="F338" s="6"/>
      <c r="G338" s="6"/>
      <c r="H338" s="23">
        <f t="shared" si="35"/>
        <v>500000</v>
      </c>
      <c r="J338">
        <v>328</v>
      </c>
      <c r="K338" s="4">
        <f t="shared" si="36"/>
        <v>0</v>
      </c>
      <c r="L338" s="4">
        <f t="shared" si="37"/>
        <v>0</v>
      </c>
      <c r="M338" s="4">
        <f t="shared" si="38"/>
        <v>0</v>
      </c>
      <c r="N338" s="4">
        <f t="shared" si="39"/>
        <v>0</v>
      </c>
      <c r="O338" s="4">
        <f t="shared" si="40"/>
        <v>0</v>
      </c>
    </row>
    <row r="339" spans="2:15" x14ac:dyDescent="0.3">
      <c r="B339">
        <v>330</v>
      </c>
      <c r="C339" s="6"/>
      <c r="D339" s="6"/>
      <c r="E339" s="6"/>
      <c r="F339" s="6"/>
      <c r="G339" s="6"/>
      <c r="H339" s="23">
        <f t="shared" si="35"/>
        <v>500000</v>
      </c>
      <c r="J339">
        <v>329</v>
      </c>
      <c r="K339" s="4">
        <f t="shared" si="36"/>
        <v>0</v>
      </c>
      <c r="L339" s="4">
        <f t="shared" si="37"/>
        <v>0</v>
      </c>
      <c r="M339" s="4">
        <f t="shared" si="38"/>
        <v>0</v>
      </c>
      <c r="N339" s="4">
        <f t="shared" si="39"/>
        <v>0</v>
      </c>
      <c r="O339" s="4">
        <f t="shared" si="40"/>
        <v>0</v>
      </c>
    </row>
    <row r="340" spans="2:15" x14ac:dyDescent="0.3">
      <c r="B340">
        <v>331</v>
      </c>
      <c r="C340" s="6"/>
      <c r="D340" s="6"/>
      <c r="E340" s="6"/>
      <c r="F340" s="6"/>
      <c r="G340" s="6"/>
      <c r="H340" s="23">
        <f t="shared" si="35"/>
        <v>500000</v>
      </c>
      <c r="J340">
        <v>330</v>
      </c>
      <c r="K340" s="4">
        <f t="shared" si="36"/>
        <v>0</v>
      </c>
      <c r="L340" s="4">
        <f t="shared" si="37"/>
        <v>0</v>
      </c>
      <c r="M340" s="4">
        <f t="shared" si="38"/>
        <v>0</v>
      </c>
      <c r="N340" s="4">
        <f t="shared" si="39"/>
        <v>0</v>
      </c>
      <c r="O340" s="4">
        <f t="shared" si="40"/>
        <v>0</v>
      </c>
    </row>
    <row r="341" spans="2:15" x14ac:dyDescent="0.3">
      <c r="B341">
        <v>332</v>
      </c>
      <c r="C341" s="6"/>
      <c r="D341" s="6"/>
      <c r="E341" s="6"/>
      <c r="F341" s="6"/>
      <c r="G341" s="6"/>
      <c r="H341" s="23">
        <f t="shared" si="35"/>
        <v>500000</v>
      </c>
      <c r="J341">
        <v>331</v>
      </c>
      <c r="K341" s="4">
        <f t="shared" si="36"/>
        <v>0</v>
      </c>
      <c r="L341" s="4">
        <f t="shared" si="37"/>
        <v>0</v>
      </c>
      <c r="M341" s="4">
        <f t="shared" si="38"/>
        <v>0</v>
      </c>
      <c r="N341" s="4">
        <f t="shared" si="39"/>
        <v>0</v>
      </c>
      <c r="O341" s="4">
        <f t="shared" si="40"/>
        <v>0</v>
      </c>
    </row>
    <row r="342" spans="2:15" x14ac:dyDescent="0.3">
      <c r="B342">
        <v>333</v>
      </c>
      <c r="C342" s="6"/>
      <c r="D342" s="6"/>
      <c r="E342" s="6"/>
      <c r="F342" s="6"/>
      <c r="G342" s="6"/>
      <c r="H342" s="23">
        <f t="shared" si="35"/>
        <v>500000</v>
      </c>
      <c r="J342">
        <v>332</v>
      </c>
      <c r="K342" s="4">
        <f t="shared" si="36"/>
        <v>0</v>
      </c>
      <c r="L342" s="4">
        <f t="shared" si="37"/>
        <v>0</v>
      </c>
      <c r="M342" s="4">
        <f t="shared" si="38"/>
        <v>0</v>
      </c>
      <c r="N342" s="4">
        <f t="shared" si="39"/>
        <v>0</v>
      </c>
      <c r="O342" s="4">
        <f t="shared" si="40"/>
        <v>0</v>
      </c>
    </row>
    <row r="343" spans="2:15" x14ac:dyDescent="0.3">
      <c r="B343">
        <v>334</v>
      </c>
      <c r="C343" s="6"/>
      <c r="D343" s="6"/>
      <c r="E343" s="6"/>
      <c r="F343" s="6"/>
      <c r="G343" s="6"/>
      <c r="H343" s="23">
        <f t="shared" si="35"/>
        <v>500000</v>
      </c>
      <c r="J343">
        <v>333</v>
      </c>
      <c r="K343" s="4">
        <f t="shared" si="36"/>
        <v>0</v>
      </c>
      <c r="L343" s="4">
        <f t="shared" si="37"/>
        <v>0</v>
      </c>
      <c r="M343" s="4">
        <f t="shared" si="38"/>
        <v>0</v>
      </c>
      <c r="N343" s="4">
        <f t="shared" si="39"/>
        <v>0</v>
      </c>
      <c r="O343" s="4">
        <f t="shared" si="40"/>
        <v>0</v>
      </c>
    </row>
    <row r="344" spans="2:15" x14ac:dyDescent="0.3">
      <c r="B344">
        <v>335</v>
      </c>
      <c r="C344" s="6"/>
      <c r="D344" s="6"/>
      <c r="E344" s="6"/>
      <c r="F344" s="6"/>
      <c r="G344" s="6"/>
      <c r="H344" s="23">
        <f t="shared" si="35"/>
        <v>500000</v>
      </c>
      <c r="J344">
        <v>334</v>
      </c>
      <c r="K344" s="4">
        <f t="shared" si="36"/>
        <v>0</v>
      </c>
      <c r="L344" s="4">
        <f t="shared" si="37"/>
        <v>0</v>
      </c>
      <c r="M344" s="4">
        <f t="shared" si="38"/>
        <v>0</v>
      </c>
      <c r="N344" s="4">
        <f t="shared" si="39"/>
        <v>0</v>
      </c>
      <c r="O344" s="4">
        <f t="shared" si="40"/>
        <v>0</v>
      </c>
    </row>
    <row r="345" spans="2:15" x14ac:dyDescent="0.3">
      <c r="B345">
        <v>336</v>
      </c>
      <c r="C345" s="6"/>
      <c r="D345" s="6"/>
      <c r="E345" s="6"/>
      <c r="F345" s="6"/>
      <c r="G345" s="6"/>
      <c r="H345" s="23">
        <f t="shared" si="35"/>
        <v>500000</v>
      </c>
      <c r="J345">
        <v>335</v>
      </c>
      <c r="K345" s="4">
        <f t="shared" si="36"/>
        <v>0</v>
      </c>
      <c r="L345" s="4">
        <f t="shared" si="37"/>
        <v>0</v>
      </c>
      <c r="M345" s="4">
        <f t="shared" si="38"/>
        <v>0</v>
      </c>
      <c r="N345" s="4">
        <f t="shared" si="39"/>
        <v>0</v>
      </c>
      <c r="O345" s="4">
        <f t="shared" si="40"/>
        <v>0</v>
      </c>
    </row>
    <row r="346" spans="2:15" x14ac:dyDescent="0.3">
      <c r="B346">
        <v>337</v>
      </c>
      <c r="C346" s="6"/>
      <c r="D346" s="6"/>
      <c r="E346" s="6"/>
      <c r="F346" s="6"/>
      <c r="G346" s="6"/>
      <c r="H346" s="23">
        <f t="shared" si="35"/>
        <v>500000</v>
      </c>
      <c r="J346">
        <v>336</v>
      </c>
      <c r="K346" s="4">
        <f t="shared" si="36"/>
        <v>0</v>
      </c>
      <c r="L346" s="4">
        <f t="shared" si="37"/>
        <v>0</v>
      </c>
      <c r="M346" s="4">
        <f t="shared" si="38"/>
        <v>0</v>
      </c>
      <c r="N346" s="4">
        <f t="shared" si="39"/>
        <v>0</v>
      </c>
      <c r="O346" s="4">
        <f t="shared" si="40"/>
        <v>0</v>
      </c>
    </row>
    <row r="347" spans="2:15" x14ac:dyDescent="0.3">
      <c r="B347">
        <v>338</v>
      </c>
      <c r="C347" s="6"/>
      <c r="D347" s="6"/>
      <c r="E347" s="6"/>
      <c r="F347" s="6"/>
      <c r="G347" s="6"/>
      <c r="H347" s="23">
        <f t="shared" si="35"/>
        <v>500000</v>
      </c>
      <c r="J347">
        <v>337</v>
      </c>
      <c r="K347" s="4">
        <f t="shared" si="36"/>
        <v>0</v>
      </c>
      <c r="L347" s="4">
        <f t="shared" si="37"/>
        <v>0</v>
      </c>
      <c r="M347" s="4">
        <f t="shared" si="38"/>
        <v>0</v>
      </c>
      <c r="N347" s="4">
        <f t="shared" si="39"/>
        <v>0</v>
      </c>
      <c r="O347" s="4">
        <f t="shared" si="40"/>
        <v>0</v>
      </c>
    </row>
    <row r="348" spans="2:15" x14ac:dyDescent="0.3">
      <c r="B348">
        <v>339</v>
      </c>
      <c r="C348" s="6"/>
      <c r="D348" s="6"/>
      <c r="E348" s="6"/>
      <c r="F348" s="6"/>
      <c r="G348" s="6"/>
      <c r="H348" s="23">
        <f t="shared" si="35"/>
        <v>500000</v>
      </c>
      <c r="J348">
        <v>338</v>
      </c>
      <c r="K348" s="4">
        <f t="shared" si="36"/>
        <v>0</v>
      </c>
      <c r="L348" s="4">
        <f t="shared" si="37"/>
        <v>0</v>
      </c>
      <c r="M348" s="4">
        <f t="shared" si="38"/>
        <v>0</v>
      </c>
      <c r="N348" s="4">
        <f t="shared" si="39"/>
        <v>0</v>
      </c>
      <c r="O348" s="4">
        <f t="shared" si="40"/>
        <v>0</v>
      </c>
    </row>
    <row r="349" spans="2:15" x14ac:dyDescent="0.3">
      <c r="B349">
        <v>340</v>
      </c>
      <c r="C349" s="6"/>
      <c r="D349" s="6"/>
      <c r="E349" s="6"/>
      <c r="F349" s="6"/>
      <c r="G349" s="6"/>
      <c r="H349" s="23">
        <f t="shared" si="35"/>
        <v>500000</v>
      </c>
      <c r="J349">
        <v>339</v>
      </c>
      <c r="K349" s="4">
        <f t="shared" si="36"/>
        <v>0</v>
      </c>
      <c r="L349" s="4">
        <f t="shared" si="37"/>
        <v>0</v>
      </c>
      <c r="M349" s="4">
        <f t="shared" si="38"/>
        <v>0</v>
      </c>
      <c r="N349" s="4">
        <f t="shared" si="39"/>
        <v>0</v>
      </c>
      <c r="O349" s="4">
        <f t="shared" si="40"/>
        <v>0</v>
      </c>
    </row>
    <row r="350" spans="2:15" x14ac:dyDescent="0.3">
      <c r="B350">
        <v>341</v>
      </c>
      <c r="C350" s="6"/>
      <c r="D350" s="6"/>
      <c r="E350" s="6"/>
      <c r="F350" s="6"/>
      <c r="G350" s="6"/>
      <c r="H350" s="23">
        <f t="shared" si="35"/>
        <v>500000</v>
      </c>
      <c r="J350">
        <v>340</v>
      </c>
      <c r="K350" s="4">
        <f t="shared" si="36"/>
        <v>0</v>
      </c>
      <c r="L350" s="4">
        <f t="shared" si="37"/>
        <v>0</v>
      </c>
      <c r="M350" s="4">
        <f t="shared" si="38"/>
        <v>0</v>
      </c>
      <c r="N350" s="4">
        <f t="shared" si="39"/>
        <v>0</v>
      </c>
      <c r="O350" s="4">
        <f t="shared" si="40"/>
        <v>0</v>
      </c>
    </row>
    <row r="351" spans="2:15" x14ac:dyDescent="0.3">
      <c r="B351">
        <v>342</v>
      </c>
      <c r="C351" s="6"/>
      <c r="D351" s="6"/>
      <c r="E351" s="6"/>
      <c r="F351" s="6"/>
      <c r="G351" s="6"/>
      <c r="H351" s="23">
        <f t="shared" si="35"/>
        <v>500000</v>
      </c>
      <c r="J351">
        <v>341</v>
      </c>
      <c r="K351" s="4">
        <f t="shared" si="36"/>
        <v>0</v>
      </c>
      <c r="L351" s="4">
        <f t="shared" si="37"/>
        <v>0</v>
      </c>
      <c r="M351" s="4">
        <f t="shared" si="38"/>
        <v>0</v>
      </c>
      <c r="N351" s="4">
        <f t="shared" si="39"/>
        <v>0</v>
      </c>
      <c r="O351" s="4">
        <f t="shared" si="40"/>
        <v>0</v>
      </c>
    </row>
    <row r="352" spans="2:15" x14ac:dyDescent="0.3">
      <c r="B352">
        <v>343</v>
      </c>
      <c r="C352" s="6"/>
      <c r="D352" s="6"/>
      <c r="E352" s="6"/>
      <c r="F352" s="6"/>
      <c r="G352" s="6"/>
      <c r="H352" s="23">
        <f t="shared" si="35"/>
        <v>500000</v>
      </c>
      <c r="J352">
        <v>342</v>
      </c>
      <c r="K352" s="4">
        <f t="shared" si="36"/>
        <v>0</v>
      </c>
      <c r="L352" s="4">
        <f t="shared" si="37"/>
        <v>0</v>
      </c>
      <c r="M352" s="4">
        <f t="shared" si="38"/>
        <v>0</v>
      </c>
      <c r="N352" s="4">
        <f t="shared" si="39"/>
        <v>0</v>
      </c>
      <c r="O352" s="4">
        <f t="shared" si="40"/>
        <v>0</v>
      </c>
    </row>
    <row r="353" spans="2:15" x14ac:dyDescent="0.3">
      <c r="B353">
        <v>344</v>
      </c>
      <c r="C353" s="6"/>
      <c r="D353" s="6"/>
      <c r="E353" s="6"/>
      <c r="F353" s="6"/>
      <c r="G353" s="6"/>
      <c r="H353" s="23">
        <f t="shared" si="35"/>
        <v>500000</v>
      </c>
      <c r="J353">
        <v>343</v>
      </c>
      <c r="K353" s="4">
        <f t="shared" si="36"/>
        <v>0</v>
      </c>
      <c r="L353" s="4">
        <f t="shared" si="37"/>
        <v>0</v>
      </c>
      <c r="M353" s="4">
        <f t="shared" si="38"/>
        <v>0</v>
      </c>
      <c r="N353" s="4">
        <f t="shared" si="39"/>
        <v>0</v>
      </c>
      <c r="O353" s="4">
        <f t="shared" si="40"/>
        <v>0</v>
      </c>
    </row>
    <row r="354" spans="2:15" x14ac:dyDescent="0.3">
      <c r="B354">
        <v>345</v>
      </c>
      <c r="C354" s="6"/>
      <c r="D354" s="6"/>
      <c r="E354" s="6"/>
      <c r="F354" s="6"/>
      <c r="G354" s="6"/>
      <c r="H354" s="23">
        <f t="shared" si="35"/>
        <v>500000</v>
      </c>
      <c r="J354">
        <v>344</v>
      </c>
      <c r="K354" s="4">
        <f t="shared" si="36"/>
        <v>0</v>
      </c>
      <c r="L354" s="4">
        <f t="shared" si="37"/>
        <v>0</v>
      </c>
      <c r="M354" s="4">
        <f t="shared" si="38"/>
        <v>0</v>
      </c>
      <c r="N354" s="4">
        <f t="shared" si="39"/>
        <v>0</v>
      </c>
      <c r="O354" s="4">
        <f t="shared" si="40"/>
        <v>0</v>
      </c>
    </row>
    <row r="355" spans="2:15" x14ac:dyDescent="0.3">
      <c r="B355">
        <v>346</v>
      </c>
      <c r="C355" s="6"/>
      <c r="D355" s="6"/>
      <c r="E355" s="6"/>
      <c r="F355" s="6"/>
      <c r="G355" s="6"/>
      <c r="H355" s="23">
        <f t="shared" si="35"/>
        <v>500000</v>
      </c>
      <c r="J355">
        <v>345</v>
      </c>
      <c r="K355" s="4">
        <f t="shared" si="36"/>
        <v>0</v>
      </c>
      <c r="L355" s="4">
        <f t="shared" si="37"/>
        <v>0</v>
      </c>
      <c r="M355" s="4">
        <f t="shared" si="38"/>
        <v>0</v>
      </c>
      <c r="N355" s="4">
        <f t="shared" si="39"/>
        <v>0</v>
      </c>
      <c r="O355" s="4">
        <f t="shared" si="40"/>
        <v>0</v>
      </c>
    </row>
    <row r="356" spans="2:15" x14ac:dyDescent="0.3">
      <c r="B356">
        <v>347</v>
      </c>
      <c r="C356" s="6"/>
      <c r="D356" s="6"/>
      <c r="E356" s="6"/>
      <c r="F356" s="6"/>
      <c r="G356" s="6"/>
      <c r="H356" s="23">
        <f t="shared" si="35"/>
        <v>500000</v>
      </c>
      <c r="J356">
        <v>346</v>
      </c>
      <c r="K356" s="4">
        <f t="shared" si="36"/>
        <v>0</v>
      </c>
      <c r="L356" s="4">
        <f t="shared" si="37"/>
        <v>0</v>
      </c>
      <c r="M356" s="4">
        <f t="shared" si="38"/>
        <v>0</v>
      </c>
      <c r="N356" s="4">
        <f t="shared" si="39"/>
        <v>0</v>
      </c>
      <c r="O356" s="4">
        <f t="shared" si="40"/>
        <v>0</v>
      </c>
    </row>
    <row r="357" spans="2:15" x14ac:dyDescent="0.3">
      <c r="B357">
        <v>348</v>
      </c>
      <c r="C357" s="6"/>
      <c r="D357" s="6"/>
      <c r="E357" s="6"/>
      <c r="F357" s="6"/>
      <c r="G357" s="6"/>
      <c r="H357" s="23">
        <f t="shared" si="35"/>
        <v>500000</v>
      </c>
      <c r="J357">
        <v>347</v>
      </c>
      <c r="K357" s="4">
        <f t="shared" si="36"/>
        <v>0</v>
      </c>
      <c r="L357" s="4">
        <f t="shared" si="37"/>
        <v>0</v>
      </c>
      <c r="M357" s="4">
        <f t="shared" si="38"/>
        <v>0</v>
      </c>
      <c r="N357" s="4">
        <f t="shared" si="39"/>
        <v>0</v>
      </c>
      <c r="O357" s="4">
        <f t="shared" si="40"/>
        <v>0</v>
      </c>
    </row>
    <row r="358" spans="2:15" x14ac:dyDescent="0.3">
      <c r="B358">
        <v>349</v>
      </c>
      <c r="C358" s="6"/>
      <c r="D358" s="6"/>
      <c r="E358" s="6"/>
      <c r="F358" s="6"/>
      <c r="G358" s="6"/>
      <c r="H358" s="23">
        <f t="shared" si="35"/>
        <v>500000</v>
      </c>
      <c r="J358">
        <v>348</v>
      </c>
      <c r="K358" s="4">
        <f t="shared" si="36"/>
        <v>0</v>
      </c>
      <c r="L358" s="4">
        <f t="shared" si="37"/>
        <v>0</v>
      </c>
      <c r="M358" s="4">
        <f t="shared" si="38"/>
        <v>0</v>
      </c>
      <c r="N358" s="4">
        <f t="shared" si="39"/>
        <v>0</v>
      </c>
      <c r="O358" s="4">
        <f t="shared" si="40"/>
        <v>0</v>
      </c>
    </row>
    <row r="359" spans="2:15" x14ac:dyDescent="0.3">
      <c r="B359">
        <v>350</v>
      </c>
      <c r="C359" s="6"/>
      <c r="D359" s="6"/>
      <c r="E359" s="6"/>
      <c r="F359" s="6"/>
      <c r="G359" s="6"/>
      <c r="H359" s="23">
        <f t="shared" si="35"/>
        <v>500000</v>
      </c>
      <c r="J359">
        <v>349</v>
      </c>
      <c r="K359" s="4">
        <f t="shared" si="36"/>
        <v>0</v>
      </c>
      <c r="L359" s="4">
        <f t="shared" si="37"/>
        <v>0</v>
      </c>
      <c r="M359" s="4">
        <f t="shared" si="38"/>
        <v>0</v>
      </c>
      <c r="N359" s="4">
        <f t="shared" si="39"/>
        <v>0</v>
      </c>
      <c r="O359" s="4">
        <f t="shared" si="40"/>
        <v>0</v>
      </c>
    </row>
    <row r="360" spans="2:15" x14ac:dyDescent="0.3">
      <c r="B360">
        <v>351</v>
      </c>
      <c r="C360" s="6"/>
      <c r="D360" s="6"/>
      <c r="E360" s="6"/>
      <c r="F360" s="6"/>
      <c r="G360" s="6"/>
      <c r="H360" s="23">
        <f t="shared" si="35"/>
        <v>500000</v>
      </c>
      <c r="J360">
        <v>350</v>
      </c>
      <c r="K360" s="4">
        <f t="shared" si="36"/>
        <v>0</v>
      </c>
      <c r="L360" s="4">
        <f t="shared" si="37"/>
        <v>0</v>
      </c>
      <c r="M360" s="4">
        <f t="shared" si="38"/>
        <v>0</v>
      </c>
      <c r="N360" s="4">
        <f t="shared" si="39"/>
        <v>0</v>
      </c>
      <c r="O360" s="4">
        <f t="shared" si="40"/>
        <v>0</v>
      </c>
    </row>
    <row r="361" spans="2:15" x14ac:dyDescent="0.3">
      <c r="B361">
        <v>352</v>
      </c>
      <c r="C361" s="6"/>
      <c r="D361" s="6"/>
      <c r="E361" s="6"/>
      <c r="F361" s="6"/>
      <c r="G361" s="6"/>
      <c r="H361" s="23">
        <f t="shared" si="35"/>
        <v>500000</v>
      </c>
      <c r="J361">
        <v>351</v>
      </c>
      <c r="K361" s="4">
        <f t="shared" si="36"/>
        <v>0</v>
      </c>
      <c r="L361" s="4">
        <f t="shared" si="37"/>
        <v>0</v>
      </c>
      <c r="M361" s="4">
        <f t="shared" si="38"/>
        <v>0</v>
      </c>
      <c r="N361" s="4">
        <f t="shared" si="39"/>
        <v>0</v>
      </c>
      <c r="O361" s="4">
        <f t="shared" si="40"/>
        <v>0</v>
      </c>
    </row>
    <row r="362" spans="2:15" x14ac:dyDescent="0.3">
      <c r="B362">
        <v>353</v>
      </c>
      <c r="C362" s="6"/>
      <c r="D362" s="6"/>
      <c r="E362" s="6"/>
      <c r="F362" s="6"/>
      <c r="G362" s="6"/>
      <c r="H362" s="23">
        <f t="shared" si="35"/>
        <v>500000</v>
      </c>
      <c r="J362">
        <v>352</v>
      </c>
      <c r="K362" s="4">
        <f t="shared" si="36"/>
        <v>0</v>
      </c>
      <c r="L362" s="4">
        <f t="shared" si="37"/>
        <v>0</v>
      </c>
      <c r="M362" s="4">
        <f t="shared" si="38"/>
        <v>0</v>
      </c>
      <c r="N362" s="4">
        <f t="shared" si="39"/>
        <v>0</v>
      </c>
      <c r="O362" s="4">
        <f t="shared" si="40"/>
        <v>0</v>
      </c>
    </row>
    <row r="363" spans="2:15" x14ac:dyDescent="0.3">
      <c r="B363">
        <v>354</v>
      </c>
      <c r="C363" s="6"/>
      <c r="D363" s="6"/>
      <c r="E363" s="6"/>
      <c r="F363" s="6"/>
      <c r="G363" s="6"/>
      <c r="H363" s="23">
        <f t="shared" si="35"/>
        <v>500000</v>
      </c>
      <c r="J363">
        <v>353</v>
      </c>
      <c r="K363" s="4">
        <f t="shared" si="36"/>
        <v>0</v>
      </c>
      <c r="L363" s="4">
        <f t="shared" si="37"/>
        <v>0</v>
      </c>
      <c r="M363" s="4">
        <f t="shared" si="38"/>
        <v>0</v>
      </c>
      <c r="N363" s="4">
        <f t="shared" si="39"/>
        <v>0</v>
      </c>
      <c r="O363" s="4">
        <f t="shared" si="40"/>
        <v>0</v>
      </c>
    </row>
    <row r="364" spans="2:15" x14ac:dyDescent="0.3">
      <c r="B364">
        <v>355</v>
      </c>
      <c r="C364" s="6"/>
      <c r="D364" s="6"/>
      <c r="E364" s="6"/>
      <c r="F364" s="6"/>
      <c r="G364" s="6"/>
      <c r="H364" s="23">
        <f t="shared" si="35"/>
        <v>500000</v>
      </c>
      <c r="J364">
        <v>354</v>
      </c>
      <c r="K364" s="4">
        <f t="shared" si="36"/>
        <v>0</v>
      </c>
      <c r="L364" s="4">
        <f t="shared" si="37"/>
        <v>0</v>
      </c>
      <c r="M364" s="4">
        <f t="shared" si="38"/>
        <v>0</v>
      </c>
      <c r="N364" s="4">
        <f t="shared" si="39"/>
        <v>0</v>
      </c>
      <c r="O364" s="4">
        <f t="shared" si="40"/>
        <v>0</v>
      </c>
    </row>
    <row r="365" spans="2:15" x14ac:dyDescent="0.3">
      <c r="B365">
        <v>356</v>
      </c>
      <c r="C365" s="6"/>
      <c r="D365" s="6"/>
      <c r="E365" s="6"/>
      <c r="F365" s="6"/>
      <c r="G365" s="6"/>
      <c r="H365" s="23">
        <f t="shared" si="35"/>
        <v>500000</v>
      </c>
      <c r="J365">
        <v>355</v>
      </c>
      <c r="K365" s="4">
        <f t="shared" si="36"/>
        <v>0</v>
      </c>
      <c r="L365" s="4">
        <f t="shared" si="37"/>
        <v>0</v>
      </c>
      <c r="M365" s="4">
        <f t="shared" si="38"/>
        <v>0</v>
      </c>
      <c r="N365" s="4">
        <f t="shared" si="39"/>
        <v>0</v>
      </c>
      <c r="O365" s="4">
        <f t="shared" si="40"/>
        <v>0</v>
      </c>
    </row>
    <row r="366" spans="2:15" x14ac:dyDescent="0.3">
      <c r="B366">
        <v>357</v>
      </c>
      <c r="C366" s="6"/>
      <c r="D366" s="6"/>
      <c r="E366" s="6"/>
      <c r="F366" s="6"/>
      <c r="G366" s="6"/>
      <c r="H366" s="23">
        <f t="shared" si="35"/>
        <v>500000</v>
      </c>
      <c r="J366">
        <v>356</v>
      </c>
      <c r="K366" s="4">
        <f t="shared" si="36"/>
        <v>0</v>
      </c>
      <c r="L366" s="4">
        <f t="shared" si="37"/>
        <v>0</v>
      </c>
      <c r="M366" s="4">
        <f t="shared" si="38"/>
        <v>0</v>
      </c>
      <c r="N366" s="4">
        <f t="shared" si="39"/>
        <v>0</v>
      </c>
      <c r="O366" s="4">
        <f t="shared" si="40"/>
        <v>0</v>
      </c>
    </row>
    <row r="367" spans="2:15" x14ac:dyDescent="0.3">
      <c r="B367">
        <v>358</v>
      </c>
      <c r="C367" s="6"/>
      <c r="D367" s="6"/>
      <c r="E367" s="6"/>
      <c r="F367" s="6"/>
      <c r="G367" s="6"/>
      <c r="H367" s="23">
        <f t="shared" si="35"/>
        <v>500000</v>
      </c>
      <c r="J367">
        <v>357</v>
      </c>
      <c r="K367" s="4">
        <f t="shared" si="36"/>
        <v>0</v>
      </c>
      <c r="L367" s="4">
        <f t="shared" si="37"/>
        <v>0</v>
      </c>
      <c r="M367" s="4">
        <f t="shared" si="38"/>
        <v>0</v>
      </c>
      <c r="N367" s="4">
        <f t="shared" si="39"/>
        <v>0</v>
      </c>
      <c r="O367" s="4">
        <f t="shared" si="40"/>
        <v>0</v>
      </c>
    </row>
    <row r="368" spans="2:15" x14ac:dyDescent="0.3">
      <c r="B368">
        <v>359</v>
      </c>
      <c r="C368" s="6"/>
      <c r="D368" s="6"/>
      <c r="E368" s="6"/>
      <c r="F368" s="6"/>
      <c r="G368" s="6"/>
      <c r="H368" s="23">
        <f t="shared" si="35"/>
        <v>500000</v>
      </c>
      <c r="J368">
        <v>358</v>
      </c>
      <c r="K368" s="4">
        <f t="shared" si="36"/>
        <v>0</v>
      </c>
      <c r="L368" s="4">
        <f t="shared" si="37"/>
        <v>0</v>
      </c>
      <c r="M368" s="4">
        <f t="shared" si="38"/>
        <v>0</v>
      </c>
      <c r="N368" s="4">
        <f t="shared" si="39"/>
        <v>0</v>
      </c>
      <c r="O368" s="4">
        <f t="shared" si="40"/>
        <v>0</v>
      </c>
    </row>
    <row r="369" spans="2:15" x14ac:dyDescent="0.3">
      <c r="B369">
        <v>360</v>
      </c>
      <c r="C369" s="6"/>
      <c r="D369" s="6"/>
      <c r="E369" s="6"/>
      <c r="F369" s="6"/>
      <c r="G369" s="6"/>
      <c r="H369" s="23">
        <f t="shared" si="35"/>
        <v>500000</v>
      </c>
      <c r="J369">
        <v>359</v>
      </c>
      <c r="K369" s="4">
        <f t="shared" si="36"/>
        <v>0</v>
      </c>
      <c r="L369" s="4">
        <f t="shared" si="37"/>
        <v>0</v>
      </c>
      <c r="M369" s="4">
        <f t="shared" si="38"/>
        <v>0</v>
      </c>
      <c r="N369" s="4">
        <f t="shared" si="39"/>
        <v>0</v>
      </c>
      <c r="O369" s="4">
        <f t="shared" si="40"/>
        <v>0</v>
      </c>
    </row>
    <row r="370" spans="2:15" x14ac:dyDescent="0.3">
      <c r="B370">
        <v>361</v>
      </c>
      <c r="C370" s="6"/>
      <c r="D370" s="6"/>
      <c r="E370" s="6"/>
      <c r="F370" s="6"/>
      <c r="G370" s="6"/>
      <c r="H370" s="23">
        <f t="shared" si="35"/>
        <v>500000</v>
      </c>
      <c r="J370">
        <v>360</v>
      </c>
      <c r="K370" s="4">
        <f t="shared" si="36"/>
        <v>0</v>
      </c>
      <c r="L370" s="4">
        <f t="shared" si="37"/>
        <v>0</v>
      </c>
      <c r="M370" s="4">
        <f t="shared" si="38"/>
        <v>0</v>
      </c>
      <c r="N370" s="4">
        <f t="shared" si="39"/>
        <v>0</v>
      </c>
      <c r="O370" s="4">
        <f t="shared" si="40"/>
        <v>0</v>
      </c>
    </row>
    <row r="371" spans="2:15" x14ac:dyDescent="0.3">
      <c r="B371">
        <v>362</v>
      </c>
      <c r="C371" s="6"/>
      <c r="D371" s="6"/>
      <c r="E371" s="6"/>
      <c r="F371" s="6"/>
      <c r="G371" s="6"/>
      <c r="H371" s="23">
        <f t="shared" si="35"/>
        <v>500000</v>
      </c>
      <c r="J371">
        <v>361</v>
      </c>
      <c r="K371" s="4">
        <f t="shared" si="36"/>
        <v>0</v>
      </c>
      <c r="L371" s="4">
        <f t="shared" si="37"/>
        <v>0</v>
      </c>
      <c r="M371" s="4">
        <f t="shared" si="38"/>
        <v>0</v>
      </c>
      <c r="N371" s="4">
        <f t="shared" si="39"/>
        <v>0</v>
      </c>
      <c r="O371" s="4">
        <f t="shared" si="40"/>
        <v>0</v>
      </c>
    </row>
    <row r="372" spans="2:15" x14ac:dyDescent="0.3">
      <c r="B372">
        <v>363</v>
      </c>
      <c r="C372" s="6"/>
      <c r="D372" s="6"/>
      <c r="E372" s="6"/>
      <c r="F372" s="6"/>
      <c r="G372" s="6"/>
      <c r="H372" s="23">
        <f t="shared" si="35"/>
        <v>500000</v>
      </c>
      <c r="J372">
        <v>362</v>
      </c>
      <c r="K372" s="4">
        <f t="shared" si="36"/>
        <v>0</v>
      </c>
      <c r="L372" s="4">
        <f t="shared" si="37"/>
        <v>0</v>
      </c>
      <c r="M372" s="4">
        <f t="shared" si="38"/>
        <v>0</v>
      </c>
      <c r="N372" s="4">
        <f t="shared" si="39"/>
        <v>0</v>
      </c>
      <c r="O372" s="4">
        <f t="shared" si="40"/>
        <v>0</v>
      </c>
    </row>
    <row r="373" spans="2:15" x14ac:dyDescent="0.3">
      <c r="B373">
        <v>364</v>
      </c>
      <c r="C373" s="6"/>
      <c r="D373" s="6"/>
      <c r="E373" s="6"/>
      <c r="F373" s="6"/>
      <c r="G373" s="6"/>
      <c r="H373" s="23">
        <f t="shared" si="35"/>
        <v>500000</v>
      </c>
      <c r="J373">
        <v>363</v>
      </c>
      <c r="K373" s="4">
        <f t="shared" si="36"/>
        <v>0</v>
      </c>
      <c r="L373" s="4">
        <f t="shared" si="37"/>
        <v>0</v>
      </c>
      <c r="M373" s="4">
        <f t="shared" si="38"/>
        <v>0</v>
      </c>
      <c r="N373" s="4">
        <f t="shared" si="39"/>
        <v>0</v>
      </c>
      <c r="O373" s="4">
        <f t="shared" si="40"/>
        <v>0</v>
      </c>
    </row>
    <row r="374" spans="2:15" x14ac:dyDescent="0.3">
      <c r="B374">
        <v>365</v>
      </c>
      <c r="C374" s="6"/>
      <c r="D374" s="6"/>
      <c r="E374" s="6"/>
      <c r="F374" s="6"/>
      <c r="G374" s="6"/>
      <c r="H374" s="23">
        <f t="shared" si="35"/>
        <v>500000</v>
      </c>
      <c r="J374">
        <v>364</v>
      </c>
      <c r="K374" s="4">
        <f t="shared" si="36"/>
        <v>0</v>
      </c>
      <c r="L374" s="4">
        <f t="shared" si="37"/>
        <v>0</v>
      </c>
      <c r="M374" s="4">
        <f t="shared" si="38"/>
        <v>0</v>
      </c>
      <c r="N374" s="4">
        <f t="shared" si="39"/>
        <v>0</v>
      </c>
      <c r="O374" s="4">
        <f t="shared" si="40"/>
        <v>0</v>
      </c>
    </row>
    <row r="375" spans="2:15" x14ac:dyDescent="0.3">
      <c r="B375">
        <v>366</v>
      </c>
      <c r="C375" s="6"/>
      <c r="D375" s="6"/>
      <c r="E375" s="6"/>
      <c r="F375" s="6"/>
      <c r="G375" s="6"/>
      <c r="H375" s="23">
        <f t="shared" si="35"/>
        <v>500000</v>
      </c>
      <c r="J375">
        <v>365</v>
      </c>
      <c r="K375" s="4">
        <f t="shared" si="36"/>
        <v>0</v>
      </c>
      <c r="L375" s="4">
        <f t="shared" si="37"/>
        <v>0</v>
      </c>
      <c r="M375" s="4">
        <f t="shared" si="38"/>
        <v>0</v>
      </c>
      <c r="N375" s="4">
        <f t="shared" si="39"/>
        <v>0</v>
      </c>
      <c r="O375" s="4">
        <f t="shared" si="40"/>
        <v>0</v>
      </c>
    </row>
    <row r="376" spans="2:15" x14ac:dyDescent="0.3">
      <c r="B376">
        <v>367</v>
      </c>
      <c r="C376" s="6"/>
      <c r="D376" s="6"/>
      <c r="E376" s="6"/>
      <c r="F376" s="6"/>
      <c r="G376" s="6"/>
      <c r="H376" s="23">
        <f t="shared" si="35"/>
        <v>500000</v>
      </c>
      <c r="J376">
        <v>366</v>
      </c>
      <c r="K376" s="4">
        <f t="shared" si="36"/>
        <v>0</v>
      </c>
      <c r="L376" s="4">
        <f t="shared" si="37"/>
        <v>0</v>
      </c>
      <c r="M376" s="4">
        <f t="shared" si="38"/>
        <v>0</v>
      </c>
      <c r="N376" s="4">
        <f t="shared" si="39"/>
        <v>0</v>
      </c>
      <c r="O376" s="4">
        <f t="shared" si="40"/>
        <v>0</v>
      </c>
    </row>
    <row r="377" spans="2:15" x14ac:dyDescent="0.3">
      <c r="B377">
        <v>368</v>
      </c>
      <c r="C377" s="6"/>
      <c r="D377" s="6"/>
      <c r="E377" s="6"/>
      <c r="F377" s="6"/>
      <c r="G377" s="6"/>
      <c r="H377" s="23">
        <f t="shared" si="35"/>
        <v>500000</v>
      </c>
      <c r="J377">
        <v>367</v>
      </c>
      <c r="K377" s="4">
        <f t="shared" si="36"/>
        <v>0</v>
      </c>
      <c r="L377" s="4">
        <f t="shared" si="37"/>
        <v>0</v>
      </c>
      <c r="M377" s="4">
        <f t="shared" si="38"/>
        <v>0</v>
      </c>
      <c r="N377" s="4">
        <f t="shared" si="39"/>
        <v>0</v>
      </c>
      <c r="O377" s="4">
        <f t="shared" si="40"/>
        <v>0</v>
      </c>
    </row>
    <row r="378" spans="2:15" x14ac:dyDescent="0.3">
      <c r="B378">
        <v>369</v>
      </c>
      <c r="C378" s="6"/>
      <c r="D378" s="6"/>
      <c r="E378" s="6"/>
      <c r="F378" s="6"/>
      <c r="G378" s="6"/>
      <c r="H378" s="23">
        <f t="shared" si="35"/>
        <v>500000</v>
      </c>
      <c r="J378">
        <v>368</v>
      </c>
      <c r="K378" s="4">
        <f t="shared" si="36"/>
        <v>0</v>
      </c>
      <c r="L378" s="4">
        <f t="shared" si="37"/>
        <v>0</v>
      </c>
      <c r="M378" s="4">
        <f t="shared" si="38"/>
        <v>0</v>
      </c>
      <c r="N378" s="4">
        <f t="shared" si="39"/>
        <v>0</v>
      </c>
      <c r="O378" s="4">
        <f t="shared" si="40"/>
        <v>0</v>
      </c>
    </row>
    <row r="379" spans="2:15" x14ac:dyDescent="0.3">
      <c r="B379">
        <v>370</v>
      </c>
      <c r="C379" s="6"/>
      <c r="D379" s="6"/>
      <c r="E379" s="6"/>
      <c r="F379" s="6"/>
      <c r="G379" s="6"/>
      <c r="H379" s="23">
        <f t="shared" si="35"/>
        <v>500000</v>
      </c>
      <c r="J379">
        <v>369</v>
      </c>
      <c r="K379" s="4">
        <f t="shared" si="36"/>
        <v>0</v>
      </c>
      <c r="L379" s="4">
        <f t="shared" si="37"/>
        <v>0</v>
      </c>
      <c r="M379" s="4">
        <f t="shared" si="38"/>
        <v>0</v>
      </c>
      <c r="N379" s="4">
        <f t="shared" si="39"/>
        <v>0</v>
      </c>
      <c r="O379" s="4">
        <f t="shared" si="40"/>
        <v>0</v>
      </c>
    </row>
    <row r="380" spans="2:15" x14ac:dyDescent="0.3">
      <c r="B380">
        <v>371</v>
      </c>
      <c r="C380" s="6"/>
      <c r="D380" s="6"/>
      <c r="E380" s="6"/>
      <c r="F380" s="6"/>
      <c r="G380" s="6"/>
      <c r="H380" s="23">
        <f t="shared" si="35"/>
        <v>500000</v>
      </c>
      <c r="J380">
        <v>370</v>
      </c>
      <c r="K380" s="4">
        <f t="shared" si="36"/>
        <v>0</v>
      </c>
      <c r="L380" s="4">
        <f t="shared" si="37"/>
        <v>0</v>
      </c>
      <c r="M380" s="4">
        <f t="shared" si="38"/>
        <v>0</v>
      </c>
      <c r="N380" s="4">
        <f t="shared" si="39"/>
        <v>0</v>
      </c>
      <c r="O380" s="4">
        <f t="shared" si="40"/>
        <v>0</v>
      </c>
    </row>
    <row r="381" spans="2:15" x14ac:dyDescent="0.3">
      <c r="B381">
        <v>372</v>
      </c>
      <c r="C381" s="6"/>
      <c r="D381" s="6"/>
      <c r="E381" s="6"/>
      <c r="F381" s="6"/>
      <c r="G381" s="6"/>
      <c r="H381" s="23">
        <f t="shared" si="35"/>
        <v>500000</v>
      </c>
      <c r="J381">
        <v>371</v>
      </c>
      <c r="K381" s="4">
        <f t="shared" si="36"/>
        <v>0</v>
      </c>
      <c r="L381" s="4">
        <f t="shared" si="37"/>
        <v>0</v>
      </c>
      <c r="M381" s="4">
        <f t="shared" si="38"/>
        <v>0</v>
      </c>
      <c r="N381" s="4">
        <f t="shared" si="39"/>
        <v>0</v>
      </c>
      <c r="O381" s="4">
        <f t="shared" si="40"/>
        <v>0</v>
      </c>
    </row>
    <row r="382" spans="2:15" x14ac:dyDescent="0.3">
      <c r="B382">
        <v>373</v>
      </c>
      <c r="C382" s="6"/>
      <c r="D382" s="6"/>
      <c r="E382" s="6"/>
      <c r="F382" s="6"/>
      <c r="G382" s="6"/>
      <c r="H382" s="23">
        <f t="shared" si="35"/>
        <v>500000</v>
      </c>
      <c r="J382">
        <v>372</v>
      </c>
      <c r="K382" s="4">
        <f t="shared" si="36"/>
        <v>0</v>
      </c>
      <c r="L382" s="4">
        <f t="shared" si="37"/>
        <v>0</v>
      </c>
      <c r="M382" s="4">
        <f t="shared" si="38"/>
        <v>0</v>
      </c>
      <c r="N382" s="4">
        <f t="shared" si="39"/>
        <v>0</v>
      </c>
      <c r="O382" s="4">
        <f t="shared" si="40"/>
        <v>0</v>
      </c>
    </row>
    <row r="383" spans="2:15" x14ac:dyDescent="0.3">
      <c r="B383">
        <v>374</v>
      </c>
      <c r="C383" s="6"/>
      <c r="D383" s="6"/>
      <c r="E383" s="6"/>
      <c r="F383" s="6"/>
      <c r="G383" s="6"/>
      <c r="H383" s="23">
        <f t="shared" si="35"/>
        <v>500000</v>
      </c>
      <c r="J383">
        <v>373</v>
      </c>
      <c r="K383" s="4">
        <f t="shared" si="36"/>
        <v>0</v>
      </c>
      <c r="L383" s="4">
        <f t="shared" si="37"/>
        <v>0</v>
      </c>
      <c r="M383" s="4">
        <f t="shared" si="38"/>
        <v>0</v>
      </c>
      <c r="N383" s="4">
        <f t="shared" si="39"/>
        <v>0</v>
      </c>
      <c r="O383" s="4">
        <f t="shared" si="40"/>
        <v>0</v>
      </c>
    </row>
    <row r="384" spans="2:15" x14ac:dyDescent="0.3">
      <c r="B384">
        <v>375</v>
      </c>
      <c r="C384" s="6"/>
      <c r="D384" s="6"/>
      <c r="E384" s="6"/>
      <c r="F384" s="6"/>
      <c r="G384" s="6"/>
      <c r="H384" s="23">
        <f t="shared" si="35"/>
        <v>500000</v>
      </c>
      <c r="J384">
        <v>374</v>
      </c>
      <c r="K384" s="4">
        <f t="shared" si="36"/>
        <v>0</v>
      </c>
      <c r="L384" s="4">
        <f t="shared" si="37"/>
        <v>0</v>
      </c>
      <c r="M384" s="4">
        <f t="shared" si="38"/>
        <v>0</v>
      </c>
      <c r="N384" s="4">
        <f t="shared" si="39"/>
        <v>0</v>
      </c>
      <c r="O384" s="4">
        <f t="shared" si="40"/>
        <v>0</v>
      </c>
    </row>
    <row r="385" spans="2:15" x14ac:dyDescent="0.3">
      <c r="B385">
        <v>376</v>
      </c>
      <c r="C385" s="6"/>
      <c r="D385" s="6"/>
      <c r="E385" s="6"/>
      <c r="F385" s="6"/>
      <c r="G385" s="6"/>
      <c r="H385" s="23">
        <f t="shared" si="35"/>
        <v>500000</v>
      </c>
      <c r="J385">
        <v>375</v>
      </c>
      <c r="K385" s="4">
        <f t="shared" si="36"/>
        <v>0</v>
      </c>
      <c r="L385" s="4">
        <f t="shared" si="37"/>
        <v>0</v>
      </c>
      <c r="M385" s="4">
        <f t="shared" si="38"/>
        <v>0</v>
      </c>
      <c r="N385" s="4">
        <f t="shared" si="39"/>
        <v>0</v>
      </c>
      <c r="O385" s="4">
        <f t="shared" si="40"/>
        <v>0</v>
      </c>
    </row>
    <row r="386" spans="2:15" x14ac:dyDescent="0.3">
      <c r="B386">
        <v>377</v>
      </c>
      <c r="C386" s="6"/>
      <c r="D386" s="6"/>
      <c r="E386" s="6"/>
      <c r="F386" s="6"/>
      <c r="G386" s="6"/>
      <c r="H386" s="23">
        <f t="shared" si="35"/>
        <v>500000</v>
      </c>
      <c r="J386">
        <v>376</v>
      </c>
      <c r="K386" s="4">
        <f t="shared" si="36"/>
        <v>0</v>
      </c>
      <c r="L386" s="4">
        <f t="shared" si="37"/>
        <v>0</v>
      </c>
      <c r="M386" s="4">
        <f t="shared" si="38"/>
        <v>0</v>
      </c>
      <c r="N386" s="4">
        <f t="shared" si="39"/>
        <v>0</v>
      </c>
      <c r="O386" s="4">
        <f t="shared" si="40"/>
        <v>0</v>
      </c>
    </row>
    <row r="387" spans="2:15" x14ac:dyDescent="0.3">
      <c r="B387">
        <v>378</v>
      </c>
      <c r="C387" s="6"/>
      <c r="D387" s="6"/>
      <c r="E387" s="6"/>
      <c r="F387" s="6"/>
      <c r="G387" s="6"/>
      <c r="H387" s="23">
        <f t="shared" si="35"/>
        <v>500000</v>
      </c>
      <c r="J387">
        <v>377</v>
      </c>
      <c r="K387" s="4">
        <f t="shared" si="36"/>
        <v>0</v>
      </c>
      <c r="L387" s="4">
        <f t="shared" si="37"/>
        <v>0</v>
      </c>
      <c r="M387" s="4">
        <f t="shared" si="38"/>
        <v>0</v>
      </c>
      <c r="N387" s="4">
        <f t="shared" si="39"/>
        <v>0</v>
      </c>
      <c r="O387" s="4">
        <f t="shared" si="40"/>
        <v>0</v>
      </c>
    </row>
    <row r="388" spans="2:15" x14ac:dyDescent="0.3">
      <c r="B388">
        <v>379</v>
      </c>
      <c r="C388" s="6"/>
      <c r="D388" s="6"/>
      <c r="E388" s="6"/>
      <c r="F388" s="6"/>
      <c r="G388" s="6"/>
      <c r="H388" s="23">
        <f t="shared" si="35"/>
        <v>500000</v>
      </c>
      <c r="J388">
        <v>378</v>
      </c>
      <c r="K388" s="4">
        <f t="shared" si="36"/>
        <v>0</v>
      </c>
      <c r="L388" s="4">
        <f t="shared" si="37"/>
        <v>0</v>
      </c>
      <c r="M388" s="4">
        <f t="shared" si="38"/>
        <v>0</v>
      </c>
      <c r="N388" s="4">
        <f t="shared" si="39"/>
        <v>0</v>
      </c>
      <c r="O388" s="4">
        <f t="shared" si="40"/>
        <v>0</v>
      </c>
    </row>
    <row r="389" spans="2:15" x14ac:dyDescent="0.3">
      <c r="B389">
        <v>380</v>
      </c>
      <c r="C389" s="6"/>
      <c r="D389" s="6"/>
      <c r="E389" s="6"/>
      <c r="F389" s="6"/>
      <c r="G389" s="6"/>
      <c r="H389" s="23">
        <f t="shared" si="35"/>
        <v>500000</v>
      </c>
      <c r="J389">
        <v>379</v>
      </c>
      <c r="K389" s="4">
        <f t="shared" si="36"/>
        <v>0</v>
      </c>
      <c r="L389" s="4">
        <f t="shared" si="37"/>
        <v>0</v>
      </c>
      <c r="M389" s="4">
        <f t="shared" si="38"/>
        <v>0</v>
      </c>
      <c r="N389" s="4">
        <f t="shared" si="39"/>
        <v>0</v>
      </c>
      <c r="O389" s="4">
        <f t="shared" si="40"/>
        <v>0</v>
      </c>
    </row>
    <row r="390" spans="2:15" x14ac:dyDescent="0.3">
      <c r="B390">
        <v>381</v>
      </c>
      <c r="C390" s="6"/>
      <c r="D390" s="6"/>
      <c r="E390" s="6"/>
      <c r="F390" s="6"/>
      <c r="G390" s="6"/>
      <c r="H390" s="23">
        <f t="shared" ref="H390:H453" si="41">F390+H389</f>
        <v>500000</v>
      </c>
      <c r="J390">
        <v>380</v>
      </c>
      <c r="K390" s="4">
        <f t="shared" si="36"/>
        <v>0</v>
      </c>
      <c r="L390" s="4">
        <f t="shared" si="37"/>
        <v>0</v>
      </c>
      <c r="M390" s="4">
        <f t="shared" si="38"/>
        <v>0</v>
      </c>
      <c r="N390" s="4">
        <f t="shared" si="39"/>
        <v>0</v>
      </c>
      <c r="O390" s="4">
        <f t="shared" si="40"/>
        <v>0</v>
      </c>
    </row>
    <row r="391" spans="2:15" x14ac:dyDescent="0.3">
      <c r="B391">
        <v>382</v>
      </c>
      <c r="C391" s="6"/>
      <c r="D391" s="6"/>
      <c r="E391" s="6"/>
      <c r="F391" s="6"/>
      <c r="G391" s="6"/>
      <c r="H391" s="23">
        <f t="shared" si="41"/>
        <v>500000</v>
      </c>
      <c r="J391">
        <v>381</v>
      </c>
      <c r="K391" s="4">
        <f t="shared" si="36"/>
        <v>0</v>
      </c>
      <c r="L391" s="4">
        <f t="shared" si="37"/>
        <v>0</v>
      </c>
      <c r="M391" s="4">
        <f t="shared" si="38"/>
        <v>0</v>
      </c>
      <c r="N391" s="4">
        <f t="shared" si="39"/>
        <v>0</v>
      </c>
      <c r="O391" s="4">
        <f t="shared" si="40"/>
        <v>0</v>
      </c>
    </row>
    <row r="392" spans="2:15" x14ac:dyDescent="0.3">
      <c r="B392">
        <v>383</v>
      </c>
      <c r="C392" s="6"/>
      <c r="D392" s="6"/>
      <c r="E392" s="6"/>
      <c r="F392" s="6"/>
      <c r="G392" s="6"/>
      <c r="H392" s="23">
        <f t="shared" si="41"/>
        <v>500000</v>
      </c>
      <c r="J392">
        <v>382</v>
      </c>
      <c r="K392" s="4">
        <f t="shared" si="36"/>
        <v>0</v>
      </c>
      <c r="L392" s="4">
        <f t="shared" si="37"/>
        <v>0</v>
      </c>
      <c r="M392" s="4">
        <f t="shared" si="38"/>
        <v>0</v>
      </c>
      <c r="N392" s="4">
        <f t="shared" si="39"/>
        <v>0</v>
      </c>
      <c r="O392" s="4">
        <f t="shared" si="40"/>
        <v>0</v>
      </c>
    </row>
    <row r="393" spans="2:15" x14ac:dyDescent="0.3">
      <c r="B393">
        <v>384</v>
      </c>
      <c r="C393" s="6"/>
      <c r="D393" s="6"/>
      <c r="E393" s="6"/>
      <c r="F393" s="6"/>
      <c r="G393" s="6"/>
      <c r="H393" s="23">
        <f t="shared" si="41"/>
        <v>500000</v>
      </c>
      <c r="J393">
        <v>383</v>
      </c>
      <c r="K393" s="4">
        <f t="shared" si="36"/>
        <v>0</v>
      </c>
      <c r="L393" s="4">
        <f t="shared" si="37"/>
        <v>0</v>
      </c>
      <c r="M393" s="4">
        <f t="shared" si="38"/>
        <v>0</v>
      </c>
      <c r="N393" s="4">
        <f t="shared" si="39"/>
        <v>0</v>
      </c>
      <c r="O393" s="4">
        <f t="shared" si="40"/>
        <v>0</v>
      </c>
    </row>
    <row r="394" spans="2:15" x14ac:dyDescent="0.3">
      <c r="B394">
        <v>385</v>
      </c>
      <c r="C394" s="6"/>
      <c r="D394" s="6"/>
      <c r="E394" s="6"/>
      <c r="F394" s="6"/>
      <c r="G394" s="6"/>
      <c r="H394" s="23">
        <f t="shared" si="41"/>
        <v>500000</v>
      </c>
      <c r="J394">
        <v>384</v>
      </c>
      <c r="K394" s="4">
        <f t="shared" si="36"/>
        <v>0</v>
      </c>
      <c r="L394" s="4">
        <f t="shared" si="37"/>
        <v>0</v>
      </c>
      <c r="M394" s="4">
        <f t="shared" si="38"/>
        <v>0</v>
      </c>
      <c r="N394" s="4">
        <f t="shared" si="39"/>
        <v>0</v>
      </c>
      <c r="O394" s="4">
        <f t="shared" si="40"/>
        <v>0</v>
      </c>
    </row>
    <row r="395" spans="2:15" x14ac:dyDescent="0.3">
      <c r="B395">
        <v>386</v>
      </c>
      <c r="C395" s="6"/>
      <c r="D395" s="6"/>
      <c r="E395" s="6"/>
      <c r="F395" s="6"/>
      <c r="G395" s="6"/>
      <c r="H395" s="23">
        <f t="shared" si="41"/>
        <v>500000</v>
      </c>
      <c r="J395">
        <v>385</v>
      </c>
      <c r="K395" s="4">
        <f t="shared" si="36"/>
        <v>0</v>
      </c>
      <c r="L395" s="4">
        <f t="shared" si="37"/>
        <v>0</v>
      </c>
      <c r="M395" s="4">
        <f t="shared" si="38"/>
        <v>0</v>
      </c>
      <c r="N395" s="4">
        <f t="shared" si="39"/>
        <v>0</v>
      </c>
      <c r="O395" s="4">
        <f t="shared" si="40"/>
        <v>0</v>
      </c>
    </row>
    <row r="396" spans="2:15" x14ac:dyDescent="0.3">
      <c r="B396">
        <v>387</v>
      </c>
      <c r="C396" s="6"/>
      <c r="D396" s="6"/>
      <c r="E396" s="6"/>
      <c r="F396" s="6"/>
      <c r="G396" s="6"/>
      <c r="H396" s="23">
        <f t="shared" si="41"/>
        <v>500000</v>
      </c>
      <c r="J396">
        <v>386</v>
      </c>
      <c r="K396" s="4">
        <f t="shared" ref="K396:K459" si="42">IF(J396&gt;($M$3+$F$3),L396+M396,$C$5)</f>
        <v>0</v>
      </c>
      <c r="L396" s="4">
        <f t="shared" ref="L396:L459" si="43">O395*$C$3</f>
        <v>0</v>
      </c>
      <c r="M396" s="4">
        <f t="shared" ref="M396:M459" si="44">IF(J396&lt;($M$3+$F$3),K396-L396,O395)</f>
        <v>0</v>
      </c>
      <c r="N396" s="4">
        <f t="shared" ref="N396:N459" si="45">IF(B395=$F$3,$F$2,0)</f>
        <v>0</v>
      </c>
      <c r="O396" s="4">
        <f t="shared" ref="O396:O459" si="46">O395-M396-N396</f>
        <v>0</v>
      </c>
    </row>
    <row r="397" spans="2:15" x14ac:dyDescent="0.3">
      <c r="B397">
        <v>388</v>
      </c>
      <c r="C397" s="6"/>
      <c r="D397" s="6"/>
      <c r="E397" s="6"/>
      <c r="F397" s="6"/>
      <c r="G397" s="6"/>
      <c r="H397" s="23">
        <f t="shared" si="41"/>
        <v>500000</v>
      </c>
      <c r="J397">
        <v>387</v>
      </c>
      <c r="K397" s="4">
        <f t="shared" si="42"/>
        <v>0</v>
      </c>
      <c r="L397" s="4">
        <f t="shared" si="43"/>
        <v>0</v>
      </c>
      <c r="M397" s="4">
        <f t="shared" si="44"/>
        <v>0</v>
      </c>
      <c r="N397" s="4">
        <f t="shared" si="45"/>
        <v>0</v>
      </c>
      <c r="O397" s="4">
        <f t="shared" si="46"/>
        <v>0</v>
      </c>
    </row>
    <row r="398" spans="2:15" x14ac:dyDescent="0.3">
      <c r="B398">
        <v>389</v>
      </c>
      <c r="C398" s="6"/>
      <c r="D398" s="6"/>
      <c r="E398" s="6"/>
      <c r="F398" s="6"/>
      <c r="G398" s="6"/>
      <c r="H398" s="23">
        <f t="shared" si="41"/>
        <v>500000</v>
      </c>
      <c r="J398">
        <v>388</v>
      </c>
      <c r="K398" s="4">
        <f t="shared" si="42"/>
        <v>0</v>
      </c>
      <c r="L398" s="4">
        <f t="shared" si="43"/>
        <v>0</v>
      </c>
      <c r="M398" s="4">
        <f t="shared" si="44"/>
        <v>0</v>
      </c>
      <c r="N398" s="4">
        <f t="shared" si="45"/>
        <v>0</v>
      </c>
      <c r="O398" s="4">
        <f t="shared" si="46"/>
        <v>0</v>
      </c>
    </row>
    <row r="399" spans="2:15" x14ac:dyDescent="0.3">
      <c r="B399">
        <v>390</v>
      </c>
      <c r="C399" s="6"/>
      <c r="D399" s="6"/>
      <c r="E399" s="6"/>
      <c r="F399" s="6"/>
      <c r="G399" s="6"/>
      <c r="H399" s="23">
        <f t="shared" si="41"/>
        <v>500000</v>
      </c>
      <c r="J399">
        <v>389</v>
      </c>
      <c r="K399" s="4">
        <f t="shared" si="42"/>
        <v>0</v>
      </c>
      <c r="L399" s="4">
        <f t="shared" si="43"/>
        <v>0</v>
      </c>
      <c r="M399" s="4">
        <f t="shared" si="44"/>
        <v>0</v>
      </c>
      <c r="N399" s="4">
        <f t="shared" si="45"/>
        <v>0</v>
      </c>
      <c r="O399" s="4">
        <f t="shared" si="46"/>
        <v>0</v>
      </c>
    </row>
    <row r="400" spans="2:15" x14ac:dyDescent="0.3">
      <c r="B400">
        <v>391</v>
      </c>
      <c r="C400" s="6"/>
      <c r="D400" s="6"/>
      <c r="E400" s="6"/>
      <c r="F400" s="6"/>
      <c r="G400" s="6"/>
      <c r="H400" s="23">
        <f t="shared" si="41"/>
        <v>500000</v>
      </c>
      <c r="J400">
        <v>390</v>
      </c>
      <c r="K400" s="4">
        <f t="shared" si="42"/>
        <v>0</v>
      </c>
      <c r="L400" s="4">
        <f t="shared" si="43"/>
        <v>0</v>
      </c>
      <c r="M400" s="4">
        <f t="shared" si="44"/>
        <v>0</v>
      </c>
      <c r="N400" s="4">
        <f t="shared" si="45"/>
        <v>0</v>
      </c>
      <c r="O400" s="4">
        <f t="shared" si="46"/>
        <v>0</v>
      </c>
    </row>
    <row r="401" spans="2:15" x14ac:dyDescent="0.3">
      <c r="B401">
        <v>392</v>
      </c>
      <c r="C401" s="6"/>
      <c r="D401" s="6"/>
      <c r="E401" s="6"/>
      <c r="F401" s="6"/>
      <c r="G401" s="6"/>
      <c r="H401" s="23">
        <f t="shared" si="41"/>
        <v>500000</v>
      </c>
      <c r="J401">
        <v>391</v>
      </c>
      <c r="K401" s="4">
        <f t="shared" si="42"/>
        <v>0</v>
      </c>
      <c r="L401" s="4">
        <f t="shared" si="43"/>
        <v>0</v>
      </c>
      <c r="M401" s="4">
        <f t="shared" si="44"/>
        <v>0</v>
      </c>
      <c r="N401" s="4">
        <f t="shared" si="45"/>
        <v>0</v>
      </c>
      <c r="O401" s="4">
        <f t="shared" si="46"/>
        <v>0</v>
      </c>
    </row>
    <row r="402" spans="2:15" x14ac:dyDescent="0.3">
      <c r="B402">
        <v>393</v>
      </c>
      <c r="C402" s="6"/>
      <c r="D402" s="6"/>
      <c r="E402" s="6"/>
      <c r="F402" s="6"/>
      <c r="G402" s="6"/>
      <c r="H402" s="23">
        <f t="shared" si="41"/>
        <v>500000</v>
      </c>
      <c r="J402">
        <v>392</v>
      </c>
      <c r="K402" s="4">
        <f t="shared" si="42"/>
        <v>0</v>
      </c>
      <c r="L402" s="4">
        <f t="shared" si="43"/>
        <v>0</v>
      </c>
      <c r="M402" s="4">
        <f t="shared" si="44"/>
        <v>0</v>
      </c>
      <c r="N402" s="4">
        <f t="shared" si="45"/>
        <v>0</v>
      </c>
      <c r="O402" s="4">
        <f t="shared" si="46"/>
        <v>0</v>
      </c>
    </row>
    <row r="403" spans="2:15" x14ac:dyDescent="0.3">
      <c r="B403">
        <v>394</v>
      </c>
      <c r="C403" s="6"/>
      <c r="D403" s="6"/>
      <c r="E403" s="6"/>
      <c r="F403" s="6"/>
      <c r="G403" s="6"/>
      <c r="H403" s="23">
        <f t="shared" si="41"/>
        <v>500000</v>
      </c>
      <c r="J403">
        <v>393</v>
      </c>
      <c r="K403" s="4">
        <f t="shared" si="42"/>
        <v>0</v>
      </c>
      <c r="L403" s="4">
        <f t="shared" si="43"/>
        <v>0</v>
      </c>
      <c r="M403" s="4">
        <f t="shared" si="44"/>
        <v>0</v>
      </c>
      <c r="N403" s="4">
        <f t="shared" si="45"/>
        <v>0</v>
      </c>
      <c r="O403" s="4">
        <f t="shared" si="46"/>
        <v>0</v>
      </c>
    </row>
    <row r="404" spans="2:15" x14ac:dyDescent="0.3">
      <c r="B404">
        <v>395</v>
      </c>
      <c r="C404" s="6"/>
      <c r="D404" s="6"/>
      <c r="E404" s="6"/>
      <c r="F404" s="6"/>
      <c r="G404" s="6"/>
      <c r="H404" s="23">
        <f t="shared" si="41"/>
        <v>500000</v>
      </c>
      <c r="J404">
        <v>394</v>
      </c>
      <c r="K404" s="4">
        <f t="shared" si="42"/>
        <v>0</v>
      </c>
      <c r="L404" s="4">
        <f t="shared" si="43"/>
        <v>0</v>
      </c>
      <c r="M404" s="4">
        <f t="shared" si="44"/>
        <v>0</v>
      </c>
      <c r="N404" s="4">
        <f t="shared" si="45"/>
        <v>0</v>
      </c>
      <c r="O404" s="4">
        <f t="shared" si="46"/>
        <v>0</v>
      </c>
    </row>
    <row r="405" spans="2:15" x14ac:dyDescent="0.3">
      <c r="B405">
        <v>396</v>
      </c>
      <c r="C405" s="6"/>
      <c r="D405" s="6"/>
      <c r="E405" s="6"/>
      <c r="F405" s="6"/>
      <c r="G405" s="6"/>
      <c r="H405" s="23">
        <f t="shared" si="41"/>
        <v>500000</v>
      </c>
      <c r="J405">
        <v>395</v>
      </c>
      <c r="K405" s="4">
        <f t="shared" si="42"/>
        <v>0</v>
      </c>
      <c r="L405" s="4">
        <f t="shared" si="43"/>
        <v>0</v>
      </c>
      <c r="M405" s="4">
        <f t="shared" si="44"/>
        <v>0</v>
      </c>
      <c r="N405" s="4">
        <f t="shared" si="45"/>
        <v>0</v>
      </c>
      <c r="O405" s="4">
        <f t="shared" si="46"/>
        <v>0</v>
      </c>
    </row>
    <row r="406" spans="2:15" x14ac:dyDescent="0.3">
      <c r="B406">
        <v>397</v>
      </c>
      <c r="C406" s="6"/>
      <c r="D406" s="6"/>
      <c r="E406" s="6"/>
      <c r="F406" s="6"/>
      <c r="G406" s="6"/>
      <c r="H406" s="23">
        <f t="shared" si="41"/>
        <v>500000</v>
      </c>
      <c r="J406">
        <v>396</v>
      </c>
      <c r="K406" s="4">
        <f t="shared" si="42"/>
        <v>0</v>
      </c>
      <c r="L406" s="4">
        <f t="shared" si="43"/>
        <v>0</v>
      </c>
      <c r="M406" s="4">
        <f t="shared" si="44"/>
        <v>0</v>
      </c>
      <c r="N406" s="4">
        <f t="shared" si="45"/>
        <v>0</v>
      </c>
      <c r="O406" s="4">
        <f t="shared" si="46"/>
        <v>0</v>
      </c>
    </row>
    <row r="407" spans="2:15" x14ac:dyDescent="0.3">
      <c r="B407">
        <v>398</v>
      </c>
      <c r="C407" s="6"/>
      <c r="D407" s="6"/>
      <c r="E407" s="6"/>
      <c r="F407" s="6"/>
      <c r="G407" s="6"/>
      <c r="H407" s="23">
        <f t="shared" si="41"/>
        <v>500000</v>
      </c>
      <c r="J407">
        <v>397</v>
      </c>
      <c r="K407" s="4">
        <f t="shared" si="42"/>
        <v>0</v>
      </c>
      <c r="L407" s="4">
        <f t="shared" si="43"/>
        <v>0</v>
      </c>
      <c r="M407" s="4">
        <f t="shared" si="44"/>
        <v>0</v>
      </c>
      <c r="N407" s="4">
        <f t="shared" si="45"/>
        <v>0</v>
      </c>
      <c r="O407" s="4">
        <f t="shared" si="46"/>
        <v>0</v>
      </c>
    </row>
    <row r="408" spans="2:15" x14ac:dyDescent="0.3">
      <c r="B408">
        <v>399</v>
      </c>
      <c r="C408" s="6"/>
      <c r="D408" s="6"/>
      <c r="E408" s="6"/>
      <c r="F408" s="6"/>
      <c r="G408" s="6"/>
      <c r="H408" s="23">
        <f t="shared" si="41"/>
        <v>500000</v>
      </c>
      <c r="J408">
        <v>398</v>
      </c>
      <c r="K408" s="4">
        <f t="shared" si="42"/>
        <v>0</v>
      </c>
      <c r="L408" s="4">
        <f t="shared" si="43"/>
        <v>0</v>
      </c>
      <c r="M408" s="4">
        <f t="shared" si="44"/>
        <v>0</v>
      </c>
      <c r="N408" s="4">
        <f t="shared" si="45"/>
        <v>0</v>
      </c>
      <c r="O408" s="4">
        <f t="shared" si="46"/>
        <v>0</v>
      </c>
    </row>
    <row r="409" spans="2:15" x14ac:dyDescent="0.3">
      <c r="B409">
        <v>400</v>
      </c>
      <c r="C409" s="6"/>
      <c r="D409" s="6"/>
      <c r="E409" s="6"/>
      <c r="F409" s="6"/>
      <c r="G409" s="6"/>
      <c r="H409" s="23">
        <f t="shared" si="41"/>
        <v>500000</v>
      </c>
      <c r="J409">
        <v>399</v>
      </c>
      <c r="K409" s="4">
        <f t="shared" si="42"/>
        <v>0</v>
      </c>
      <c r="L409" s="4">
        <f t="shared" si="43"/>
        <v>0</v>
      </c>
      <c r="M409" s="4">
        <f t="shared" si="44"/>
        <v>0</v>
      </c>
      <c r="N409" s="4">
        <f t="shared" si="45"/>
        <v>0</v>
      </c>
      <c r="O409" s="4">
        <f t="shared" si="46"/>
        <v>0</v>
      </c>
    </row>
    <row r="410" spans="2:15" x14ac:dyDescent="0.3">
      <c r="B410">
        <v>401</v>
      </c>
      <c r="C410" s="6"/>
      <c r="D410" s="6"/>
      <c r="E410" s="6"/>
      <c r="F410" s="6"/>
      <c r="G410" s="6"/>
      <c r="H410" s="23">
        <f t="shared" si="41"/>
        <v>500000</v>
      </c>
      <c r="J410">
        <v>400</v>
      </c>
      <c r="K410" s="4">
        <f t="shared" si="42"/>
        <v>0</v>
      </c>
      <c r="L410" s="4">
        <f t="shared" si="43"/>
        <v>0</v>
      </c>
      <c r="M410" s="4">
        <f t="shared" si="44"/>
        <v>0</v>
      </c>
      <c r="N410" s="4">
        <f t="shared" si="45"/>
        <v>0</v>
      </c>
      <c r="O410" s="4">
        <f t="shared" si="46"/>
        <v>0</v>
      </c>
    </row>
    <row r="411" spans="2:15" x14ac:dyDescent="0.3">
      <c r="B411">
        <v>402</v>
      </c>
      <c r="C411" s="6"/>
      <c r="D411" s="6"/>
      <c r="E411" s="6"/>
      <c r="F411" s="6"/>
      <c r="G411" s="6"/>
      <c r="H411" s="23">
        <f t="shared" si="41"/>
        <v>500000</v>
      </c>
      <c r="J411">
        <v>401</v>
      </c>
      <c r="K411" s="4">
        <f t="shared" si="42"/>
        <v>0</v>
      </c>
      <c r="L411" s="4">
        <f t="shared" si="43"/>
        <v>0</v>
      </c>
      <c r="M411" s="4">
        <f t="shared" si="44"/>
        <v>0</v>
      </c>
      <c r="N411" s="4">
        <f t="shared" si="45"/>
        <v>0</v>
      </c>
      <c r="O411" s="4">
        <f t="shared" si="46"/>
        <v>0</v>
      </c>
    </row>
    <row r="412" spans="2:15" x14ac:dyDescent="0.3">
      <c r="B412">
        <v>403</v>
      </c>
      <c r="C412" s="6"/>
      <c r="D412" s="6"/>
      <c r="E412" s="6"/>
      <c r="F412" s="6"/>
      <c r="G412" s="6"/>
      <c r="H412" s="23">
        <f t="shared" si="41"/>
        <v>500000</v>
      </c>
      <c r="J412">
        <v>402</v>
      </c>
      <c r="K412" s="4">
        <f t="shared" si="42"/>
        <v>0</v>
      </c>
      <c r="L412" s="4">
        <f t="shared" si="43"/>
        <v>0</v>
      </c>
      <c r="M412" s="4">
        <f t="shared" si="44"/>
        <v>0</v>
      </c>
      <c r="N412" s="4">
        <f t="shared" si="45"/>
        <v>0</v>
      </c>
      <c r="O412" s="4">
        <f t="shared" si="46"/>
        <v>0</v>
      </c>
    </row>
    <row r="413" spans="2:15" x14ac:dyDescent="0.3">
      <c r="B413">
        <v>404</v>
      </c>
      <c r="C413" s="6"/>
      <c r="D413" s="6"/>
      <c r="E413" s="6"/>
      <c r="F413" s="6"/>
      <c r="G413" s="6"/>
      <c r="H413" s="23">
        <f t="shared" si="41"/>
        <v>500000</v>
      </c>
      <c r="J413">
        <v>403</v>
      </c>
      <c r="K413" s="4">
        <f t="shared" si="42"/>
        <v>0</v>
      </c>
      <c r="L413" s="4">
        <f t="shared" si="43"/>
        <v>0</v>
      </c>
      <c r="M413" s="4">
        <f t="shared" si="44"/>
        <v>0</v>
      </c>
      <c r="N413" s="4">
        <f t="shared" si="45"/>
        <v>0</v>
      </c>
      <c r="O413" s="4">
        <f t="shared" si="46"/>
        <v>0</v>
      </c>
    </row>
    <row r="414" spans="2:15" x14ac:dyDescent="0.3">
      <c r="B414">
        <v>405</v>
      </c>
      <c r="C414" s="6"/>
      <c r="D414" s="6"/>
      <c r="E414" s="6"/>
      <c r="F414" s="6"/>
      <c r="G414" s="6"/>
      <c r="H414" s="23">
        <f t="shared" si="41"/>
        <v>500000</v>
      </c>
      <c r="J414">
        <v>404</v>
      </c>
      <c r="K414" s="4">
        <f t="shared" si="42"/>
        <v>0</v>
      </c>
      <c r="L414" s="4">
        <f t="shared" si="43"/>
        <v>0</v>
      </c>
      <c r="M414" s="4">
        <f t="shared" si="44"/>
        <v>0</v>
      </c>
      <c r="N414" s="4">
        <f t="shared" si="45"/>
        <v>0</v>
      </c>
      <c r="O414" s="4">
        <f t="shared" si="46"/>
        <v>0</v>
      </c>
    </row>
    <row r="415" spans="2:15" x14ac:dyDescent="0.3">
      <c r="B415">
        <v>406</v>
      </c>
      <c r="C415" s="6"/>
      <c r="D415" s="6"/>
      <c r="E415" s="6"/>
      <c r="F415" s="6"/>
      <c r="G415" s="6"/>
      <c r="H415" s="23">
        <f t="shared" si="41"/>
        <v>500000</v>
      </c>
      <c r="J415">
        <v>405</v>
      </c>
      <c r="K415" s="4">
        <f t="shared" si="42"/>
        <v>0</v>
      </c>
      <c r="L415" s="4">
        <f t="shared" si="43"/>
        <v>0</v>
      </c>
      <c r="M415" s="4">
        <f t="shared" si="44"/>
        <v>0</v>
      </c>
      <c r="N415" s="4">
        <f t="shared" si="45"/>
        <v>0</v>
      </c>
      <c r="O415" s="4">
        <f t="shared" si="46"/>
        <v>0</v>
      </c>
    </row>
    <row r="416" spans="2:15" x14ac:dyDescent="0.3">
      <c r="B416">
        <v>407</v>
      </c>
      <c r="C416" s="6"/>
      <c r="D416" s="6"/>
      <c r="E416" s="6"/>
      <c r="F416" s="6"/>
      <c r="G416" s="6"/>
      <c r="H416" s="23">
        <f t="shared" si="41"/>
        <v>500000</v>
      </c>
      <c r="J416">
        <v>406</v>
      </c>
      <c r="K416" s="4">
        <f t="shared" si="42"/>
        <v>0</v>
      </c>
      <c r="L416" s="4">
        <f t="shared" si="43"/>
        <v>0</v>
      </c>
      <c r="M416" s="4">
        <f t="shared" si="44"/>
        <v>0</v>
      </c>
      <c r="N416" s="4">
        <f t="shared" si="45"/>
        <v>0</v>
      </c>
      <c r="O416" s="4">
        <f t="shared" si="46"/>
        <v>0</v>
      </c>
    </row>
    <row r="417" spans="2:15" x14ac:dyDescent="0.3">
      <c r="B417">
        <v>408</v>
      </c>
      <c r="C417" s="6"/>
      <c r="D417" s="6"/>
      <c r="E417" s="6"/>
      <c r="F417" s="6"/>
      <c r="G417" s="6"/>
      <c r="H417" s="23">
        <f t="shared" si="41"/>
        <v>500000</v>
      </c>
      <c r="J417">
        <v>407</v>
      </c>
      <c r="K417" s="4">
        <f t="shared" si="42"/>
        <v>0</v>
      </c>
      <c r="L417" s="4">
        <f t="shared" si="43"/>
        <v>0</v>
      </c>
      <c r="M417" s="4">
        <f t="shared" si="44"/>
        <v>0</v>
      </c>
      <c r="N417" s="4">
        <f t="shared" si="45"/>
        <v>0</v>
      </c>
      <c r="O417" s="4">
        <f t="shared" si="46"/>
        <v>0</v>
      </c>
    </row>
    <row r="418" spans="2:15" x14ac:dyDescent="0.3">
      <c r="B418">
        <v>409</v>
      </c>
      <c r="C418" s="6"/>
      <c r="D418" s="6"/>
      <c r="E418" s="6"/>
      <c r="F418" s="6"/>
      <c r="G418" s="6"/>
      <c r="H418" s="23">
        <f t="shared" si="41"/>
        <v>500000</v>
      </c>
      <c r="J418">
        <v>408</v>
      </c>
      <c r="K418" s="4">
        <f t="shared" si="42"/>
        <v>0</v>
      </c>
      <c r="L418" s="4">
        <f t="shared" si="43"/>
        <v>0</v>
      </c>
      <c r="M418" s="4">
        <f t="shared" si="44"/>
        <v>0</v>
      </c>
      <c r="N418" s="4">
        <f t="shared" si="45"/>
        <v>0</v>
      </c>
      <c r="O418" s="4">
        <f t="shared" si="46"/>
        <v>0</v>
      </c>
    </row>
    <row r="419" spans="2:15" x14ac:dyDescent="0.3">
      <c r="B419">
        <v>410</v>
      </c>
      <c r="C419" s="6"/>
      <c r="D419" s="6"/>
      <c r="E419" s="6"/>
      <c r="F419" s="6"/>
      <c r="G419" s="6"/>
      <c r="H419" s="23">
        <f t="shared" si="41"/>
        <v>500000</v>
      </c>
      <c r="J419">
        <v>409</v>
      </c>
      <c r="K419" s="4">
        <f t="shared" si="42"/>
        <v>0</v>
      </c>
      <c r="L419" s="4">
        <f t="shared" si="43"/>
        <v>0</v>
      </c>
      <c r="M419" s="4">
        <f t="shared" si="44"/>
        <v>0</v>
      </c>
      <c r="N419" s="4">
        <f t="shared" si="45"/>
        <v>0</v>
      </c>
      <c r="O419" s="4">
        <f t="shared" si="46"/>
        <v>0</v>
      </c>
    </row>
    <row r="420" spans="2:15" x14ac:dyDescent="0.3">
      <c r="B420">
        <v>411</v>
      </c>
      <c r="C420" s="6"/>
      <c r="D420" s="6"/>
      <c r="E420" s="6"/>
      <c r="F420" s="6"/>
      <c r="G420" s="6"/>
      <c r="H420" s="23">
        <f t="shared" si="41"/>
        <v>500000</v>
      </c>
      <c r="J420">
        <v>410</v>
      </c>
      <c r="K420" s="4">
        <f t="shared" si="42"/>
        <v>0</v>
      </c>
      <c r="L420" s="4">
        <f t="shared" si="43"/>
        <v>0</v>
      </c>
      <c r="M420" s="4">
        <f t="shared" si="44"/>
        <v>0</v>
      </c>
      <c r="N420" s="4">
        <f t="shared" si="45"/>
        <v>0</v>
      </c>
      <c r="O420" s="4">
        <f t="shared" si="46"/>
        <v>0</v>
      </c>
    </row>
    <row r="421" spans="2:15" x14ac:dyDescent="0.3">
      <c r="B421">
        <v>412</v>
      </c>
      <c r="C421" s="6"/>
      <c r="D421" s="6"/>
      <c r="E421" s="6"/>
      <c r="F421" s="6"/>
      <c r="G421" s="6"/>
      <c r="H421" s="23">
        <f t="shared" si="41"/>
        <v>500000</v>
      </c>
      <c r="J421">
        <v>411</v>
      </c>
      <c r="K421" s="4">
        <f t="shared" si="42"/>
        <v>0</v>
      </c>
      <c r="L421" s="4">
        <f t="shared" si="43"/>
        <v>0</v>
      </c>
      <c r="M421" s="4">
        <f t="shared" si="44"/>
        <v>0</v>
      </c>
      <c r="N421" s="4">
        <f t="shared" si="45"/>
        <v>0</v>
      </c>
      <c r="O421" s="4">
        <f t="shared" si="46"/>
        <v>0</v>
      </c>
    </row>
    <row r="422" spans="2:15" x14ac:dyDescent="0.3">
      <c r="B422">
        <v>413</v>
      </c>
      <c r="C422" s="6"/>
      <c r="D422" s="6"/>
      <c r="E422" s="6"/>
      <c r="F422" s="6"/>
      <c r="G422" s="6"/>
      <c r="H422" s="23">
        <f t="shared" si="41"/>
        <v>500000</v>
      </c>
      <c r="J422">
        <v>412</v>
      </c>
      <c r="K422" s="4">
        <f t="shared" si="42"/>
        <v>0</v>
      </c>
      <c r="L422" s="4">
        <f t="shared" si="43"/>
        <v>0</v>
      </c>
      <c r="M422" s="4">
        <f t="shared" si="44"/>
        <v>0</v>
      </c>
      <c r="N422" s="4">
        <f t="shared" si="45"/>
        <v>0</v>
      </c>
      <c r="O422" s="4">
        <f t="shared" si="46"/>
        <v>0</v>
      </c>
    </row>
    <row r="423" spans="2:15" x14ac:dyDescent="0.3">
      <c r="B423">
        <v>414</v>
      </c>
      <c r="C423" s="6"/>
      <c r="D423" s="6"/>
      <c r="E423" s="6"/>
      <c r="F423" s="6"/>
      <c r="G423" s="6"/>
      <c r="H423" s="23">
        <f t="shared" si="41"/>
        <v>500000</v>
      </c>
      <c r="J423">
        <v>413</v>
      </c>
      <c r="K423" s="4">
        <f t="shared" si="42"/>
        <v>0</v>
      </c>
      <c r="L423" s="4">
        <f t="shared" si="43"/>
        <v>0</v>
      </c>
      <c r="M423" s="4">
        <f t="shared" si="44"/>
        <v>0</v>
      </c>
      <c r="N423" s="4">
        <f t="shared" si="45"/>
        <v>0</v>
      </c>
      <c r="O423" s="4">
        <f t="shared" si="46"/>
        <v>0</v>
      </c>
    </row>
    <row r="424" spans="2:15" x14ac:dyDescent="0.3">
      <c r="B424">
        <v>415</v>
      </c>
      <c r="C424" s="6"/>
      <c r="D424" s="6"/>
      <c r="E424" s="6"/>
      <c r="F424" s="6"/>
      <c r="G424" s="6"/>
      <c r="H424" s="23">
        <f t="shared" si="41"/>
        <v>500000</v>
      </c>
      <c r="J424">
        <v>414</v>
      </c>
      <c r="K424" s="4">
        <f t="shared" si="42"/>
        <v>0</v>
      </c>
      <c r="L424" s="4">
        <f t="shared" si="43"/>
        <v>0</v>
      </c>
      <c r="M424" s="4">
        <f t="shared" si="44"/>
        <v>0</v>
      </c>
      <c r="N424" s="4">
        <f t="shared" si="45"/>
        <v>0</v>
      </c>
      <c r="O424" s="4">
        <f t="shared" si="46"/>
        <v>0</v>
      </c>
    </row>
    <row r="425" spans="2:15" x14ac:dyDescent="0.3">
      <c r="B425">
        <v>416</v>
      </c>
      <c r="C425" s="6"/>
      <c r="D425" s="6"/>
      <c r="E425" s="6"/>
      <c r="F425" s="6"/>
      <c r="G425" s="6"/>
      <c r="H425" s="23">
        <f t="shared" si="41"/>
        <v>500000</v>
      </c>
      <c r="J425">
        <v>415</v>
      </c>
      <c r="K425" s="4">
        <f t="shared" si="42"/>
        <v>0</v>
      </c>
      <c r="L425" s="4">
        <f t="shared" si="43"/>
        <v>0</v>
      </c>
      <c r="M425" s="4">
        <f t="shared" si="44"/>
        <v>0</v>
      </c>
      <c r="N425" s="4">
        <f t="shared" si="45"/>
        <v>0</v>
      </c>
      <c r="O425" s="4">
        <f t="shared" si="46"/>
        <v>0</v>
      </c>
    </row>
    <row r="426" spans="2:15" x14ac:dyDescent="0.3">
      <c r="B426">
        <v>417</v>
      </c>
      <c r="C426" s="6"/>
      <c r="D426" s="6"/>
      <c r="E426" s="6"/>
      <c r="F426" s="6"/>
      <c r="G426" s="6"/>
      <c r="H426" s="23">
        <f t="shared" si="41"/>
        <v>500000</v>
      </c>
      <c r="J426">
        <v>416</v>
      </c>
      <c r="K426" s="4">
        <f t="shared" si="42"/>
        <v>0</v>
      </c>
      <c r="L426" s="4">
        <f t="shared" si="43"/>
        <v>0</v>
      </c>
      <c r="M426" s="4">
        <f t="shared" si="44"/>
        <v>0</v>
      </c>
      <c r="N426" s="4">
        <f t="shared" si="45"/>
        <v>0</v>
      </c>
      <c r="O426" s="4">
        <f t="shared" si="46"/>
        <v>0</v>
      </c>
    </row>
    <row r="427" spans="2:15" x14ac:dyDescent="0.3">
      <c r="B427">
        <v>418</v>
      </c>
      <c r="C427" s="6"/>
      <c r="D427" s="6"/>
      <c r="E427" s="6"/>
      <c r="F427" s="6"/>
      <c r="G427" s="6"/>
      <c r="H427" s="23">
        <f t="shared" si="41"/>
        <v>500000</v>
      </c>
      <c r="J427">
        <v>417</v>
      </c>
      <c r="K427" s="4">
        <f t="shared" si="42"/>
        <v>0</v>
      </c>
      <c r="L427" s="4">
        <f t="shared" si="43"/>
        <v>0</v>
      </c>
      <c r="M427" s="4">
        <f t="shared" si="44"/>
        <v>0</v>
      </c>
      <c r="N427" s="4">
        <f t="shared" si="45"/>
        <v>0</v>
      </c>
      <c r="O427" s="4">
        <f t="shared" si="46"/>
        <v>0</v>
      </c>
    </row>
    <row r="428" spans="2:15" x14ac:dyDescent="0.3">
      <c r="B428">
        <v>419</v>
      </c>
      <c r="C428" s="6"/>
      <c r="D428" s="6"/>
      <c r="E428" s="6"/>
      <c r="F428" s="6"/>
      <c r="G428" s="6"/>
      <c r="H428" s="23">
        <f t="shared" si="41"/>
        <v>500000</v>
      </c>
      <c r="J428">
        <v>418</v>
      </c>
      <c r="K428" s="4">
        <f t="shared" si="42"/>
        <v>0</v>
      </c>
      <c r="L428" s="4">
        <f t="shared" si="43"/>
        <v>0</v>
      </c>
      <c r="M428" s="4">
        <f t="shared" si="44"/>
        <v>0</v>
      </c>
      <c r="N428" s="4">
        <f t="shared" si="45"/>
        <v>0</v>
      </c>
      <c r="O428" s="4">
        <f t="shared" si="46"/>
        <v>0</v>
      </c>
    </row>
    <row r="429" spans="2:15" x14ac:dyDescent="0.3">
      <c r="B429">
        <v>420</v>
      </c>
      <c r="C429" s="6"/>
      <c r="D429" s="6"/>
      <c r="E429" s="6"/>
      <c r="F429" s="6"/>
      <c r="G429" s="6"/>
      <c r="H429" s="23">
        <f t="shared" si="41"/>
        <v>500000</v>
      </c>
      <c r="J429">
        <v>419</v>
      </c>
      <c r="K429" s="4">
        <f t="shared" si="42"/>
        <v>0</v>
      </c>
      <c r="L429" s="4">
        <f t="shared" si="43"/>
        <v>0</v>
      </c>
      <c r="M429" s="4">
        <f t="shared" si="44"/>
        <v>0</v>
      </c>
      <c r="N429" s="4">
        <f t="shared" si="45"/>
        <v>0</v>
      </c>
      <c r="O429" s="4">
        <f t="shared" si="46"/>
        <v>0</v>
      </c>
    </row>
    <row r="430" spans="2:15" x14ac:dyDescent="0.3">
      <c r="B430">
        <v>421</v>
      </c>
      <c r="C430" s="6"/>
      <c r="D430" s="6"/>
      <c r="E430" s="6"/>
      <c r="F430" s="6"/>
      <c r="G430" s="6"/>
      <c r="H430" s="23">
        <f t="shared" si="41"/>
        <v>500000</v>
      </c>
      <c r="J430">
        <v>420</v>
      </c>
      <c r="K430" s="4">
        <f t="shared" si="42"/>
        <v>0</v>
      </c>
      <c r="L430" s="4">
        <f t="shared" si="43"/>
        <v>0</v>
      </c>
      <c r="M430" s="4">
        <f t="shared" si="44"/>
        <v>0</v>
      </c>
      <c r="N430" s="4">
        <f t="shared" si="45"/>
        <v>0</v>
      </c>
      <c r="O430" s="4">
        <f t="shared" si="46"/>
        <v>0</v>
      </c>
    </row>
    <row r="431" spans="2:15" x14ac:dyDescent="0.3">
      <c r="B431">
        <v>422</v>
      </c>
      <c r="C431" s="6"/>
      <c r="D431" s="6"/>
      <c r="E431" s="6"/>
      <c r="F431" s="6"/>
      <c r="G431" s="6"/>
      <c r="H431" s="23">
        <f t="shared" si="41"/>
        <v>500000</v>
      </c>
      <c r="J431">
        <v>421</v>
      </c>
      <c r="K431" s="4">
        <f t="shared" si="42"/>
        <v>0</v>
      </c>
      <c r="L431" s="4">
        <f t="shared" si="43"/>
        <v>0</v>
      </c>
      <c r="M431" s="4">
        <f t="shared" si="44"/>
        <v>0</v>
      </c>
      <c r="N431" s="4">
        <f t="shared" si="45"/>
        <v>0</v>
      </c>
      <c r="O431" s="4">
        <f t="shared" si="46"/>
        <v>0</v>
      </c>
    </row>
    <row r="432" spans="2:15" x14ac:dyDescent="0.3">
      <c r="B432">
        <v>423</v>
      </c>
      <c r="C432" s="6"/>
      <c r="D432" s="6"/>
      <c r="E432" s="6"/>
      <c r="F432" s="6"/>
      <c r="G432" s="6"/>
      <c r="H432" s="23">
        <f t="shared" si="41"/>
        <v>500000</v>
      </c>
      <c r="J432">
        <v>422</v>
      </c>
      <c r="K432" s="4">
        <f t="shared" si="42"/>
        <v>0</v>
      </c>
      <c r="L432" s="4">
        <f t="shared" si="43"/>
        <v>0</v>
      </c>
      <c r="M432" s="4">
        <f t="shared" si="44"/>
        <v>0</v>
      </c>
      <c r="N432" s="4">
        <f t="shared" si="45"/>
        <v>0</v>
      </c>
      <c r="O432" s="4">
        <f t="shared" si="46"/>
        <v>0</v>
      </c>
    </row>
    <row r="433" spans="2:15" x14ac:dyDescent="0.3">
      <c r="B433">
        <v>424</v>
      </c>
      <c r="C433" s="6"/>
      <c r="D433" s="6"/>
      <c r="E433" s="6"/>
      <c r="F433" s="6"/>
      <c r="G433" s="6"/>
      <c r="H433" s="23">
        <f t="shared" si="41"/>
        <v>500000</v>
      </c>
      <c r="J433">
        <v>423</v>
      </c>
      <c r="K433" s="4">
        <f t="shared" si="42"/>
        <v>0</v>
      </c>
      <c r="L433" s="4">
        <f t="shared" si="43"/>
        <v>0</v>
      </c>
      <c r="M433" s="4">
        <f t="shared" si="44"/>
        <v>0</v>
      </c>
      <c r="N433" s="4">
        <f t="shared" si="45"/>
        <v>0</v>
      </c>
      <c r="O433" s="4">
        <f t="shared" si="46"/>
        <v>0</v>
      </c>
    </row>
    <row r="434" spans="2:15" x14ac:dyDescent="0.3">
      <c r="B434">
        <v>425</v>
      </c>
      <c r="C434" s="6"/>
      <c r="D434" s="6"/>
      <c r="E434" s="6"/>
      <c r="F434" s="6"/>
      <c r="G434" s="6"/>
      <c r="H434" s="23">
        <f t="shared" si="41"/>
        <v>500000</v>
      </c>
      <c r="J434">
        <v>424</v>
      </c>
      <c r="K434" s="4">
        <f t="shared" si="42"/>
        <v>0</v>
      </c>
      <c r="L434" s="4">
        <f t="shared" si="43"/>
        <v>0</v>
      </c>
      <c r="M434" s="4">
        <f t="shared" si="44"/>
        <v>0</v>
      </c>
      <c r="N434" s="4">
        <f t="shared" si="45"/>
        <v>0</v>
      </c>
      <c r="O434" s="4">
        <f t="shared" si="46"/>
        <v>0</v>
      </c>
    </row>
    <row r="435" spans="2:15" x14ac:dyDescent="0.3">
      <c r="B435">
        <v>426</v>
      </c>
      <c r="C435" s="6"/>
      <c r="D435" s="6"/>
      <c r="E435" s="6"/>
      <c r="F435" s="6"/>
      <c r="G435" s="6"/>
      <c r="H435" s="23">
        <f t="shared" si="41"/>
        <v>500000</v>
      </c>
      <c r="J435">
        <v>425</v>
      </c>
      <c r="K435" s="4">
        <f t="shared" si="42"/>
        <v>0</v>
      </c>
      <c r="L435" s="4">
        <f t="shared" si="43"/>
        <v>0</v>
      </c>
      <c r="M435" s="4">
        <f t="shared" si="44"/>
        <v>0</v>
      </c>
      <c r="N435" s="4">
        <f t="shared" si="45"/>
        <v>0</v>
      </c>
      <c r="O435" s="4">
        <f t="shared" si="46"/>
        <v>0</v>
      </c>
    </row>
    <row r="436" spans="2:15" x14ac:dyDescent="0.3">
      <c r="B436">
        <v>427</v>
      </c>
      <c r="C436" s="6"/>
      <c r="D436" s="6"/>
      <c r="E436" s="6"/>
      <c r="F436" s="6"/>
      <c r="G436" s="6"/>
      <c r="H436" s="23">
        <f t="shared" si="41"/>
        <v>500000</v>
      </c>
      <c r="J436">
        <v>426</v>
      </c>
      <c r="K436" s="4">
        <f t="shared" si="42"/>
        <v>0</v>
      </c>
      <c r="L436" s="4">
        <f t="shared" si="43"/>
        <v>0</v>
      </c>
      <c r="M436" s="4">
        <f t="shared" si="44"/>
        <v>0</v>
      </c>
      <c r="N436" s="4">
        <f t="shared" si="45"/>
        <v>0</v>
      </c>
      <c r="O436" s="4">
        <f t="shared" si="46"/>
        <v>0</v>
      </c>
    </row>
    <row r="437" spans="2:15" x14ac:dyDescent="0.3">
      <c r="B437">
        <v>428</v>
      </c>
      <c r="C437" s="6"/>
      <c r="D437" s="6"/>
      <c r="E437" s="6"/>
      <c r="F437" s="6"/>
      <c r="G437" s="6"/>
      <c r="H437" s="23">
        <f t="shared" si="41"/>
        <v>500000</v>
      </c>
      <c r="J437">
        <v>427</v>
      </c>
      <c r="K437" s="4">
        <f t="shared" si="42"/>
        <v>0</v>
      </c>
      <c r="L437" s="4">
        <f t="shared" si="43"/>
        <v>0</v>
      </c>
      <c r="M437" s="4">
        <f t="shared" si="44"/>
        <v>0</v>
      </c>
      <c r="N437" s="4">
        <f t="shared" si="45"/>
        <v>0</v>
      </c>
      <c r="O437" s="4">
        <f t="shared" si="46"/>
        <v>0</v>
      </c>
    </row>
    <row r="438" spans="2:15" x14ac:dyDescent="0.3">
      <c r="B438">
        <v>429</v>
      </c>
      <c r="C438" s="6"/>
      <c r="D438" s="6"/>
      <c r="E438" s="6"/>
      <c r="F438" s="6"/>
      <c r="G438" s="6"/>
      <c r="H438" s="23">
        <f t="shared" si="41"/>
        <v>500000</v>
      </c>
      <c r="J438">
        <v>428</v>
      </c>
      <c r="K438" s="4">
        <f t="shared" si="42"/>
        <v>0</v>
      </c>
      <c r="L438" s="4">
        <f t="shared" si="43"/>
        <v>0</v>
      </c>
      <c r="M438" s="4">
        <f t="shared" si="44"/>
        <v>0</v>
      </c>
      <c r="N438" s="4">
        <f t="shared" si="45"/>
        <v>0</v>
      </c>
      <c r="O438" s="4">
        <f t="shared" si="46"/>
        <v>0</v>
      </c>
    </row>
    <row r="439" spans="2:15" x14ac:dyDescent="0.3">
      <c r="B439">
        <v>430</v>
      </c>
      <c r="C439" s="6"/>
      <c r="D439" s="6"/>
      <c r="E439" s="6"/>
      <c r="F439" s="6"/>
      <c r="G439" s="6"/>
      <c r="H439" s="23">
        <f t="shared" si="41"/>
        <v>500000</v>
      </c>
      <c r="J439">
        <v>429</v>
      </c>
      <c r="K439" s="4">
        <f t="shared" si="42"/>
        <v>0</v>
      </c>
      <c r="L439" s="4">
        <f t="shared" si="43"/>
        <v>0</v>
      </c>
      <c r="M439" s="4">
        <f t="shared" si="44"/>
        <v>0</v>
      </c>
      <c r="N439" s="4">
        <f t="shared" si="45"/>
        <v>0</v>
      </c>
      <c r="O439" s="4">
        <f t="shared" si="46"/>
        <v>0</v>
      </c>
    </row>
    <row r="440" spans="2:15" x14ac:dyDescent="0.3">
      <c r="B440">
        <v>431</v>
      </c>
      <c r="C440" s="6"/>
      <c r="D440" s="6"/>
      <c r="E440" s="6"/>
      <c r="F440" s="6"/>
      <c r="G440" s="6"/>
      <c r="H440" s="23">
        <f t="shared" si="41"/>
        <v>500000</v>
      </c>
      <c r="J440">
        <v>430</v>
      </c>
      <c r="K440" s="4">
        <f t="shared" si="42"/>
        <v>0</v>
      </c>
      <c r="L440" s="4">
        <f t="shared" si="43"/>
        <v>0</v>
      </c>
      <c r="M440" s="4">
        <f t="shared" si="44"/>
        <v>0</v>
      </c>
      <c r="N440" s="4">
        <f t="shared" si="45"/>
        <v>0</v>
      </c>
      <c r="O440" s="4">
        <f t="shared" si="46"/>
        <v>0</v>
      </c>
    </row>
    <row r="441" spans="2:15" x14ac:dyDescent="0.3">
      <c r="B441">
        <v>432</v>
      </c>
      <c r="C441" s="6"/>
      <c r="D441" s="6"/>
      <c r="E441" s="6"/>
      <c r="F441" s="6"/>
      <c r="G441" s="6"/>
      <c r="H441" s="23">
        <f t="shared" si="41"/>
        <v>500000</v>
      </c>
      <c r="J441">
        <v>431</v>
      </c>
      <c r="K441" s="4">
        <f t="shared" si="42"/>
        <v>0</v>
      </c>
      <c r="L441" s="4">
        <f t="shared" si="43"/>
        <v>0</v>
      </c>
      <c r="M441" s="4">
        <f t="shared" si="44"/>
        <v>0</v>
      </c>
      <c r="N441" s="4">
        <f t="shared" si="45"/>
        <v>0</v>
      </c>
      <c r="O441" s="4">
        <f t="shared" si="46"/>
        <v>0</v>
      </c>
    </row>
    <row r="442" spans="2:15" x14ac:dyDescent="0.3">
      <c r="B442">
        <v>433</v>
      </c>
      <c r="C442" s="6"/>
      <c r="D442" s="6"/>
      <c r="E442" s="6"/>
      <c r="F442" s="6"/>
      <c r="G442" s="6"/>
      <c r="H442" s="23">
        <f t="shared" si="41"/>
        <v>500000</v>
      </c>
      <c r="J442">
        <v>432</v>
      </c>
      <c r="K442" s="4">
        <f t="shared" si="42"/>
        <v>0</v>
      </c>
      <c r="L442" s="4">
        <f t="shared" si="43"/>
        <v>0</v>
      </c>
      <c r="M442" s="4">
        <f t="shared" si="44"/>
        <v>0</v>
      </c>
      <c r="N442" s="4">
        <f t="shared" si="45"/>
        <v>0</v>
      </c>
      <c r="O442" s="4">
        <f t="shared" si="46"/>
        <v>0</v>
      </c>
    </row>
    <row r="443" spans="2:15" x14ac:dyDescent="0.3">
      <c r="B443">
        <v>434</v>
      </c>
      <c r="C443" s="6"/>
      <c r="D443" s="6"/>
      <c r="E443" s="6"/>
      <c r="F443" s="6"/>
      <c r="G443" s="6"/>
      <c r="H443" s="23">
        <f t="shared" si="41"/>
        <v>500000</v>
      </c>
      <c r="J443">
        <v>433</v>
      </c>
      <c r="K443" s="4">
        <f t="shared" si="42"/>
        <v>0</v>
      </c>
      <c r="L443" s="4">
        <f t="shared" si="43"/>
        <v>0</v>
      </c>
      <c r="M443" s="4">
        <f t="shared" si="44"/>
        <v>0</v>
      </c>
      <c r="N443" s="4">
        <f t="shared" si="45"/>
        <v>0</v>
      </c>
      <c r="O443" s="4">
        <f t="shared" si="46"/>
        <v>0</v>
      </c>
    </row>
    <row r="444" spans="2:15" x14ac:dyDescent="0.3">
      <c r="B444">
        <v>435</v>
      </c>
      <c r="C444" s="6"/>
      <c r="D444" s="6"/>
      <c r="E444" s="6"/>
      <c r="F444" s="6"/>
      <c r="G444" s="6"/>
      <c r="H444" s="23">
        <f t="shared" si="41"/>
        <v>500000</v>
      </c>
      <c r="J444">
        <v>434</v>
      </c>
      <c r="K444" s="4">
        <f t="shared" si="42"/>
        <v>0</v>
      </c>
      <c r="L444" s="4">
        <f t="shared" si="43"/>
        <v>0</v>
      </c>
      <c r="M444" s="4">
        <f t="shared" si="44"/>
        <v>0</v>
      </c>
      <c r="N444" s="4">
        <f t="shared" si="45"/>
        <v>0</v>
      </c>
      <c r="O444" s="4">
        <f t="shared" si="46"/>
        <v>0</v>
      </c>
    </row>
    <row r="445" spans="2:15" x14ac:dyDescent="0.3">
      <c r="B445">
        <v>436</v>
      </c>
      <c r="C445" s="6"/>
      <c r="D445" s="6"/>
      <c r="E445" s="6"/>
      <c r="F445" s="6"/>
      <c r="G445" s="6"/>
      <c r="H445" s="23">
        <f t="shared" si="41"/>
        <v>500000</v>
      </c>
      <c r="J445">
        <v>435</v>
      </c>
      <c r="K445" s="4">
        <f t="shared" si="42"/>
        <v>0</v>
      </c>
      <c r="L445" s="4">
        <f t="shared" si="43"/>
        <v>0</v>
      </c>
      <c r="M445" s="4">
        <f t="shared" si="44"/>
        <v>0</v>
      </c>
      <c r="N445" s="4">
        <f t="shared" si="45"/>
        <v>0</v>
      </c>
      <c r="O445" s="4">
        <f t="shared" si="46"/>
        <v>0</v>
      </c>
    </row>
    <row r="446" spans="2:15" x14ac:dyDescent="0.3">
      <c r="B446">
        <v>437</v>
      </c>
      <c r="C446" s="6"/>
      <c r="D446" s="6"/>
      <c r="E446" s="6"/>
      <c r="F446" s="6"/>
      <c r="G446" s="6"/>
      <c r="H446" s="23">
        <f t="shared" si="41"/>
        <v>500000</v>
      </c>
      <c r="J446">
        <v>436</v>
      </c>
      <c r="K446" s="4">
        <f t="shared" si="42"/>
        <v>0</v>
      </c>
      <c r="L446" s="4">
        <f t="shared" si="43"/>
        <v>0</v>
      </c>
      <c r="M446" s="4">
        <f t="shared" si="44"/>
        <v>0</v>
      </c>
      <c r="N446" s="4">
        <f t="shared" si="45"/>
        <v>0</v>
      </c>
      <c r="O446" s="4">
        <f t="shared" si="46"/>
        <v>0</v>
      </c>
    </row>
    <row r="447" spans="2:15" x14ac:dyDescent="0.3">
      <c r="B447">
        <v>438</v>
      </c>
      <c r="C447" s="6"/>
      <c r="D447" s="6"/>
      <c r="E447" s="6"/>
      <c r="F447" s="6"/>
      <c r="G447" s="6"/>
      <c r="H447" s="23">
        <f t="shared" si="41"/>
        <v>500000</v>
      </c>
      <c r="J447">
        <v>437</v>
      </c>
      <c r="K447" s="4">
        <f t="shared" si="42"/>
        <v>0</v>
      </c>
      <c r="L447" s="4">
        <f t="shared" si="43"/>
        <v>0</v>
      </c>
      <c r="M447" s="4">
        <f t="shared" si="44"/>
        <v>0</v>
      </c>
      <c r="N447" s="4">
        <f t="shared" si="45"/>
        <v>0</v>
      </c>
      <c r="O447" s="4">
        <f t="shared" si="46"/>
        <v>0</v>
      </c>
    </row>
    <row r="448" spans="2:15" x14ac:dyDescent="0.3">
      <c r="B448">
        <v>439</v>
      </c>
      <c r="C448" s="6"/>
      <c r="D448" s="6"/>
      <c r="E448" s="6"/>
      <c r="F448" s="6"/>
      <c r="G448" s="6"/>
      <c r="H448" s="23">
        <f t="shared" si="41"/>
        <v>500000</v>
      </c>
      <c r="J448">
        <v>438</v>
      </c>
      <c r="K448" s="4">
        <f t="shared" si="42"/>
        <v>0</v>
      </c>
      <c r="L448" s="4">
        <f t="shared" si="43"/>
        <v>0</v>
      </c>
      <c r="M448" s="4">
        <f t="shared" si="44"/>
        <v>0</v>
      </c>
      <c r="N448" s="4">
        <f t="shared" si="45"/>
        <v>0</v>
      </c>
      <c r="O448" s="4">
        <f t="shared" si="46"/>
        <v>0</v>
      </c>
    </row>
    <row r="449" spans="2:15" x14ac:dyDescent="0.3">
      <c r="B449">
        <v>440</v>
      </c>
      <c r="C449" s="6"/>
      <c r="D449" s="6"/>
      <c r="E449" s="6"/>
      <c r="F449" s="6"/>
      <c r="G449" s="6"/>
      <c r="H449" s="23">
        <f t="shared" si="41"/>
        <v>500000</v>
      </c>
      <c r="J449">
        <v>439</v>
      </c>
      <c r="K449" s="4">
        <f t="shared" si="42"/>
        <v>0</v>
      </c>
      <c r="L449" s="4">
        <f t="shared" si="43"/>
        <v>0</v>
      </c>
      <c r="M449" s="4">
        <f t="shared" si="44"/>
        <v>0</v>
      </c>
      <c r="N449" s="4">
        <f t="shared" si="45"/>
        <v>0</v>
      </c>
      <c r="O449" s="4">
        <f t="shared" si="46"/>
        <v>0</v>
      </c>
    </row>
    <row r="450" spans="2:15" x14ac:dyDescent="0.3">
      <c r="B450">
        <v>441</v>
      </c>
      <c r="C450" s="6"/>
      <c r="D450" s="6"/>
      <c r="E450" s="6"/>
      <c r="F450" s="6"/>
      <c r="G450" s="6"/>
      <c r="H450" s="23">
        <f t="shared" si="41"/>
        <v>500000</v>
      </c>
      <c r="J450">
        <v>440</v>
      </c>
      <c r="K450" s="4">
        <f t="shared" si="42"/>
        <v>0</v>
      </c>
      <c r="L450" s="4">
        <f t="shared" si="43"/>
        <v>0</v>
      </c>
      <c r="M450" s="4">
        <f t="shared" si="44"/>
        <v>0</v>
      </c>
      <c r="N450" s="4">
        <f t="shared" si="45"/>
        <v>0</v>
      </c>
      <c r="O450" s="4">
        <f t="shared" si="46"/>
        <v>0</v>
      </c>
    </row>
    <row r="451" spans="2:15" x14ac:dyDescent="0.3">
      <c r="B451">
        <v>442</v>
      </c>
      <c r="C451" s="6"/>
      <c r="D451" s="6"/>
      <c r="E451" s="6"/>
      <c r="F451" s="6"/>
      <c r="G451" s="6"/>
      <c r="H451" s="23">
        <f t="shared" si="41"/>
        <v>500000</v>
      </c>
      <c r="J451">
        <v>441</v>
      </c>
      <c r="K451" s="4">
        <f t="shared" si="42"/>
        <v>0</v>
      </c>
      <c r="L451" s="4">
        <f t="shared" si="43"/>
        <v>0</v>
      </c>
      <c r="M451" s="4">
        <f t="shared" si="44"/>
        <v>0</v>
      </c>
      <c r="N451" s="4">
        <f t="shared" si="45"/>
        <v>0</v>
      </c>
      <c r="O451" s="4">
        <f t="shared" si="46"/>
        <v>0</v>
      </c>
    </row>
    <row r="452" spans="2:15" x14ac:dyDescent="0.3">
      <c r="B452">
        <v>443</v>
      </c>
      <c r="C452" s="6"/>
      <c r="D452" s="6"/>
      <c r="E452" s="6"/>
      <c r="F452" s="6"/>
      <c r="G452" s="6"/>
      <c r="H452" s="23">
        <f t="shared" si="41"/>
        <v>500000</v>
      </c>
      <c r="J452">
        <v>442</v>
      </c>
      <c r="K452" s="4">
        <f t="shared" si="42"/>
        <v>0</v>
      </c>
      <c r="L452" s="4">
        <f t="shared" si="43"/>
        <v>0</v>
      </c>
      <c r="M452" s="4">
        <f t="shared" si="44"/>
        <v>0</v>
      </c>
      <c r="N452" s="4">
        <f t="shared" si="45"/>
        <v>0</v>
      </c>
      <c r="O452" s="4">
        <f t="shared" si="46"/>
        <v>0</v>
      </c>
    </row>
    <row r="453" spans="2:15" x14ac:dyDescent="0.3">
      <c r="B453">
        <v>444</v>
      </c>
      <c r="C453" s="6"/>
      <c r="D453" s="6"/>
      <c r="E453" s="6"/>
      <c r="F453" s="6"/>
      <c r="G453" s="6"/>
      <c r="H453" s="23">
        <f t="shared" si="41"/>
        <v>500000</v>
      </c>
      <c r="J453">
        <v>443</v>
      </c>
      <c r="K453" s="4">
        <f t="shared" si="42"/>
        <v>0</v>
      </c>
      <c r="L453" s="4">
        <f t="shared" si="43"/>
        <v>0</v>
      </c>
      <c r="M453" s="4">
        <f t="shared" si="44"/>
        <v>0</v>
      </c>
      <c r="N453" s="4">
        <f t="shared" si="45"/>
        <v>0</v>
      </c>
      <c r="O453" s="4">
        <f t="shared" si="46"/>
        <v>0</v>
      </c>
    </row>
    <row r="454" spans="2:15" x14ac:dyDescent="0.3">
      <c r="B454">
        <v>445</v>
      </c>
      <c r="C454" s="6"/>
      <c r="D454" s="6"/>
      <c r="E454" s="6"/>
      <c r="F454" s="6"/>
      <c r="G454" s="6"/>
      <c r="H454" s="23">
        <f t="shared" ref="H454:H517" si="47">F454+H453</f>
        <v>500000</v>
      </c>
      <c r="J454">
        <v>444</v>
      </c>
      <c r="K454" s="4">
        <f t="shared" si="42"/>
        <v>0</v>
      </c>
      <c r="L454" s="4">
        <f t="shared" si="43"/>
        <v>0</v>
      </c>
      <c r="M454" s="4">
        <f t="shared" si="44"/>
        <v>0</v>
      </c>
      <c r="N454" s="4">
        <f t="shared" si="45"/>
        <v>0</v>
      </c>
      <c r="O454" s="4">
        <f t="shared" si="46"/>
        <v>0</v>
      </c>
    </row>
    <row r="455" spans="2:15" x14ac:dyDescent="0.3">
      <c r="B455">
        <v>446</v>
      </c>
      <c r="C455" s="6"/>
      <c r="D455" s="6"/>
      <c r="E455" s="6"/>
      <c r="F455" s="6"/>
      <c r="G455" s="6"/>
      <c r="H455" s="23">
        <f t="shared" si="47"/>
        <v>500000</v>
      </c>
      <c r="J455">
        <v>445</v>
      </c>
      <c r="K455" s="4">
        <f t="shared" si="42"/>
        <v>0</v>
      </c>
      <c r="L455" s="4">
        <f t="shared" si="43"/>
        <v>0</v>
      </c>
      <c r="M455" s="4">
        <f t="shared" si="44"/>
        <v>0</v>
      </c>
      <c r="N455" s="4">
        <f t="shared" si="45"/>
        <v>0</v>
      </c>
      <c r="O455" s="4">
        <f t="shared" si="46"/>
        <v>0</v>
      </c>
    </row>
    <row r="456" spans="2:15" x14ac:dyDescent="0.3">
      <c r="B456">
        <v>447</v>
      </c>
      <c r="C456" s="6"/>
      <c r="D456" s="6"/>
      <c r="E456" s="6"/>
      <c r="F456" s="6"/>
      <c r="G456" s="6"/>
      <c r="H456" s="23">
        <f t="shared" si="47"/>
        <v>500000</v>
      </c>
      <c r="J456">
        <v>446</v>
      </c>
      <c r="K456" s="4">
        <f t="shared" si="42"/>
        <v>0</v>
      </c>
      <c r="L456" s="4">
        <f t="shared" si="43"/>
        <v>0</v>
      </c>
      <c r="M456" s="4">
        <f t="shared" si="44"/>
        <v>0</v>
      </c>
      <c r="N456" s="4">
        <f t="shared" si="45"/>
        <v>0</v>
      </c>
      <c r="O456" s="4">
        <f t="shared" si="46"/>
        <v>0</v>
      </c>
    </row>
    <row r="457" spans="2:15" x14ac:dyDescent="0.3">
      <c r="B457">
        <v>448</v>
      </c>
      <c r="C457" s="6"/>
      <c r="D457" s="6"/>
      <c r="E457" s="6"/>
      <c r="F457" s="6"/>
      <c r="G457" s="6"/>
      <c r="H457" s="23">
        <f t="shared" si="47"/>
        <v>500000</v>
      </c>
      <c r="J457">
        <v>447</v>
      </c>
      <c r="K457" s="4">
        <f t="shared" si="42"/>
        <v>0</v>
      </c>
      <c r="L457" s="4">
        <f t="shared" si="43"/>
        <v>0</v>
      </c>
      <c r="M457" s="4">
        <f t="shared" si="44"/>
        <v>0</v>
      </c>
      <c r="N457" s="4">
        <f t="shared" si="45"/>
        <v>0</v>
      </c>
      <c r="O457" s="4">
        <f t="shared" si="46"/>
        <v>0</v>
      </c>
    </row>
    <row r="458" spans="2:15" x14ac:dyDescent="0.3">
      <c r="B458">
        <v>449</v>
      </c>
      <c r="C458" s="6"/>
      <c r="D458" s="6"/>
      <c r="E458" s="6"/>
      <c r="F458" s="6"/>
      <c r="G458" s="6"/>
      <c r="H458" s="23">
        <f t="shared" si="47"/>
        <v>500000</v>
      </c>
      <c r="J458">
        <v>448</v>
      </c>
      <c r="K458" s="4">
        <f t="shared" si="42"/>
        <v>0</v>
      </c>
      <c r="L458" s="4">
        <f t="shared" si="43"/>
        <v>0</v>
      </c>
      <c r="M458" s="4">
        <f t="shared" si="44"/>
        <v>0</v>
      </c>
      <c r="N458" s="4">
        <f t="shared" si="45"/>
        <v>0</v>
      </c>
      <c r="O458" s="4">
        <f t="shared" si="46"/>
        <v>0</v>
      </c>
    </row>
    <row r="459" spans="2:15" x14ac:dyDescent="0.3">
      <c r="B459">
        <v>450</v>
      </c>
      <c r="C459" s="6"/>
      <c r="D459" s="6"/>
      <c r="E459" s="6"/>
      <c r="F459" s="6"/>
      <c r="G459" s="6"/>
      <c r="H459" s="23">
        <f t="shared" si="47"/>
        <v>500000</v>
      </c>
      <c r="J459">
        <v>449</v>
      </c>
      <c r="K459" s="4">
        <f t="shared" si="42"/>
        <v>0</v>
      </c>
      <c r="L459" s="4">
        <f t="shared" si="43"/>
        <v>0</v>
      </c>
      <c r="M459" s="4">
        <f t="shared" si="44"/>
        <v>0</v>
      </c>
      <c r="N459" s="4">
        <f t="shared" si="45"/>
        <v>0</v>
      </c>
      <c r="O459" s="4">
        <f t="shared" si="46"/>
        <v>0</v>
      </c>
    </row>
    <row r="460" spans="2:15" x14ac:dyDescent="0.3">
      <c r="B460">
        <v>451</v>
      </c>
      <c r="C460" s="6"/>
      <c r="D460" s="6"/>
      <c r="E460" s="6"/>
      <c r="F460" s="6"/>
      <c r="G460" s="6"/>
      <c r="H460" s="23">
        <f t="shared" si="47"/>
        <v>500000</v>
      </c>
      <c r="J460">
        <v>450</v>
      </c>
      <c r="K460" s="4">
        <f t="shared" ref="K460:K523" si="48">IF(J460&gt;($M$3+$F$3),L460+M460,$C$5)</f>
        <v>0</v>
      </c>
      <c r="L460" s="4">
        <f t="shared" ref="L460:L523" si="49">O459*$C$3</f>
        <v>0</v>
      </c>
      <c r="M460" s="4">
        <f t="shared" ref="M460:M523" si="50">IF(J460&lt;($M$3+$F$3),K460-L460,O459)</f>
        <v>0</v>
      </c>
      <c r="N460" s="4">
        <f t="shared" ref="N460:N523" si="51">IF(B459=$F$3,$F$2,0)</f>
        <v>0</v>
      </c>
      <c r="O460" s="4">
        <f t="shared" ref="O460:O523" si="52">O459-M460-N460</f>
        <v>0</v>
      </c>
    </row>
    <row r="461" spans="2:15" x14ac:dyDescent="0.3">
      <c r="B461">
        <v>452</v>
      </c>
      <c r="C461" s="6"/>
      <c r="D461" s="6"/>
      <c r="E461" s="6"/>
      <c r="F461" s="6"/>
      <c r="G461" s="6"/>
      <c r="H461" s="23">
        <f t="shared" si="47"/>
        <v>500000</v>
      </c>
      <c r="J461">
        <v>451</v>
      </c>
      <c r="K461" s="4">
        <f t="shared" si="48"/>
        <v>0</v>
      </c>
      <c r="L461" s="4">
        <f t="shared" si="49"/>
        <v>0</v>
      </c>
      <c r="M461" s="4">
        <f t="shared" si="50"/>
        <v>0</v>
      </c>
      <c r="N461" s="4">
        <f t="shared" si="51"/>
        <v>0</v>
      </c>
      <c r="O461" s="4">
        <f t="shared" si="52"/>
        <v>0</v>
      </c>
    </row>
    <row r="462" spans="2:15" x14ac:dyDescent="0.3">
      <c r="B462">
        <v>453</v>
      </c>
      <c r="C462" s="6"/>
      <c r="D462" s="6"/>
      <c r="E462" s="6"/>
      <c r="F462" s="6"/>
      <c r="G462" s="6"/>
      <c r="H462" s="23">
        <f t="shared" si="47"/>
        <v>500000</v>
      </c>
      <c r="J462">
        <v>452</v>
      </c>
      <c r="K462" s="4">
        <f t="shared" si="48"/>
        <v>0</v>
      </c>
      <c r="L462" s="4">
        <f t="shared" si="49"/>
        <v>0</v>
      </c>
      <c r="M462" s="4">
        <f t="shared" si="50"/>
        <v>0</v>
      </c>
      <c r="N462" s="4">
        <f t="shared" si="51"/>
        <v>0</v>
      </c>
      <c r="O462" s="4">
        <f t="shared" si="52"/>
        <v>0</v>
      </c>
    </row>
    <row r="463" spans="2:15" x14ac:dyDescent="0.3">
      <c r="B463">
        <v>454</v>
      </c>
      <c r="C463" s="6"/>
      <c r="D463" s="6"/>
      <c r="E463" s="6"/>
      <c r="F463" s="6"/>
      <c r="G463" s="6"/>
      <c r="H463" s="23">
        <f t="shared" si="47"/>
        <v>500000</v>
      </c>
      <c r="J463">
        <v>453</v>
      </c>
      <c r="K463" s="4">
        <f t="shared" si="48"/>
        <v>0</v>
      </c>
      <c r="L463" s="4">
        <f t="shared" si="49"/>
        <v>0</v>
      </c>
      <c r="M463" s="4">
        <f t="shared" si="50"/>
        <v>0</v>
      </c>
      <c r="N463" s="4">
        <f t="shared" si="51"/>
        <v>0</v>
      </c>
      <c r="O463" s="4">
        <f t="shared" si="52"/>
        <v>0</v>
      </c>
    </row>
    <row r="464" spans="2:15" x14ac:dyDescent="0.3">
      <c r="B464">
        <v>455</v>
      </c>
      <c r="C464" s="6"/>
      <c r="D464" s="6"/>
      <c r="E464" s="6"/>
      <c r="F464" s="6"/>
      <c r="G464" s="6"/>
      <c r="H464" s="23">
        <f t="shared" si="47"/>
        <v>500000</v>
      </c>
      <c r="J464">
        <v>454</v>
      </c>
      <c r="K464" s="4">
        <f t="shared" si="48"/>
        <v>0</v>
      </c>
      <c r="L464" s="4">
        <f t="shared" si="49"/>
        <v>0</v>
      </c>
      <c r="M464" s="4">
        <f t="shared" si="50"/>
        <v>0</v>
      </c>
      <c r="N464" s="4">
        <f t="shared" si="51"/>
        <v>0</v>
      </c>
      <c r="O464" s="4">
        <f t="shared" si="52"/>
        <v>0</v>
      </c>
    </row>
    <row r="465" spans="2:15" x14ac:dyDescent="0.3">
      <c r="B465">
        <v>456</v>
      </c>
      <c r="C465" s="6"/>
      <c r="D465" s="6"/>
      <c r="E465" s="6"/>
      <c r="F465" s="6"/>
      <c r="G465" s="6"/>
      <c r="H465" s="23">
        <f t="shared" si="47"/>
        <v>500000</v>
      </c>
      <c r="J465">
        <v>455</v>
      </c>
      <c r="K465" s="4">
        <f t="shared" si="48"/>
        <v>0</v>
      </c>
      <c r="L465" s="4">
        <f t="shared" si="49"/>
        <v>0</v>
      </c>
      <c r="M465" s="4">
        <f t="shared" si="50"/>
        <v>0</v>
      </c>
      <c r="N465" s="4">
        <f t="shared" si="51"/>
        <v>0</v>
      </c>
      <c r="O465" s="4">
        <f t="shared" si="52"/>
        <v>0</v>
      </c>
    </row>
    <row r="466" spans="2:15" x14ac:dyDescent="0.3">
      <c r="B466">
        <v>457</v>
      </c>
      <c r="C466" s="6"/>
      <c r="D466" s="6"/>
      <c r="E466" s="6"/>
      <c r="F466" s="6"/>
      <c r="G466" s="6"/>
      <c r="H466" s="23">
        <f t="shared" si="47"/>
        <v>500000</v>
      </c>
      <c r="J466">
        <v>456</v>
      </c>
      <c r="K466" s="4">
        <f t="shared" si="48"/>
        <v>0</v>
      </c>
      <c r="L466" s="4">
        <f t="shared" si="49"/>
        <v>0</v>
      </c>
      <c r="M466" s="4">
        <f t="shared" si="50"/>
        <v>0</v>
      </c>
      <c r="N466" s="4">
        <f t="shared" si="51"/>
        <v>0</v>
      </c>
      <c r="O466" s="4">
        <f t="shared" si="52"/>
        <v>0</v>
      </c>
    </row>
    <row r="467" spans="2:15" x14ac:dyDescent="0.3">
      <c r="B467">
        <v>458</v>
      </c>
      <c r="C467" s="6"/>
      <c r="D467" s="6"/>
      <c r="E467" s="6"/>
      <c r="F467" s="6"/>
      <c r="G467" s="6"/>
      <c r="H467" s="23">
        <f t="shared" si="47"/>
        <v>500000</v>
      </c>
      <c r="J467">
        <v>457</v>
      </c>
      <c r="K467" s="4">
        <f t="shared" si="48"/>
        <v>0</v>
      </c>
      <c r="L467" s="4">
        <f t="shared" si="49"/>
        <v>0</v>
      </c>
      <c r="M467" s="4">
        <f t="shared" si="50"/>
        <v>0</v>
      </c>
      <c r="N467" s="4">
        <f t="shared" si="51"/>
        <v>0</v>
      </c>
      <c r="O467" s="4">
        <f t="shared" si="52"/>
        <v>0</v>
      </c>
    </row>
    <row r="468" spans="2:15" x14ac:dyDescent="0.3">
      <c r="B468">
        <v>459</v>
      </c>
      <c r="C468" s="6"/>
      <c r="D468" s="6"/>
      <c r="E468" s="6"/>
      <c r="F468" s="6"/>
      <c r="G468" s="6"/>
      <c r="H468" s="23">
        <f t="shared" si="47"/>
        <v>500000</v>
      </c>
      <c r="J468">
        <v>458</v>
      </c>
      <c r="K468" s="4">
        <f t="shared" si="48"/>
        <v>0</v>
      </c>
      <c r="L468" s="4">
        <f t="shared" si="49"/>
        <v>0</v>
      </c>
      <c r="M468" s="4">
        <f t="shared" si="50"/>
        <v>0</v>
      </c>
      <c r="N468" s="4">
        <f t="shared" si="51"/>
        <v>0</v>
      </c>
      <c r="O468" s="4">
        <f t="shared" si="52"/>
        <v>0</v>
      </c>
    </row>
    <row r="469" spans="2:15" x14ac:dyDescent="0.3">
      <c r="B469">
        <v>460</v>
      </c>
      <c r="C469" s="6"/>
      <c r="D469" s="6"/>
      <c r="E469" s="6"/>
      <c r="F469" s="6"/>
      <c r="G469" s="6"/>
      <c r="H469" s="23">
        <f t="shared" si="47"/>
        <v>500000</v>
      </c>
      <c r="J469">
        <v>459</v>
      </c>
      <c r="K469" s="4">
        <f t="shared" si="48"/>
        <v>0</v>
      </c>
      <c r="L469" s="4">
        <f t="shared" si="49"/>
        <v>0</v>
      </c>
      <c r="M469" s="4">
        <f t="shared" si="50"/>
        <v>0</v>
      </c>
      <c r="N469" s="4">
        <f t="shared" si="51"/>
        <v>0</v>
      </c>
      <c r="O469" s="4">
        <f t="shared" si="52"/>
        <v>0</v>
      </c>
    </row>
    <row r="470" spans="2:15" x14ac:dyDescent="0.3">
      <c r="B470">
        <v>461</v>
      </c>
      <c r="C470" s="6"/>
      <c r="D470" s="6"/>
      <c r="E470" s="6"/>
      <c r="F470" s="6"/>
      <c r="G470" s="6"/>
      <c r="H470" s="23">
        <f t="shared" si="47"/>
        <v>500000</v>
      </c>
      <c r="J470">
        <v>460</v>
      </c>
      <c r="K470" s="4">
        <f t="shared" si="48"/>
        <v>0</v>
      </c>
      <c r="L470" s="4">
        <f t="shared" si="49"/>
        <v>0</v>
      </c>
      <c r="M470" s="4">
        <f t="shared" si="50"/>
        <v>0</v>
      </c>
      <c r="N470" s="4">
        <f t="shared" si="51"/>
        <v>0</v>
      </c>
      <c r="O470" s="4">
        <f t="shared" si="52"/>
        <v>0</v>
      </c>
    </row>
    <row r="471" spans="2:15" x14ac:dyDescent="0.3">
      <c r="B471">
        <v>462</v>
      </c>
      <c r="C471" s="6"/>
      <c r="D471" s="6"/>
      <c r="E471" s="6"/>
      <c r="F471" s="6"/>
      <c r="G471" s="6"/>
      <c r="H471" s="23">
        <f t="shared" si="47"/>
        <v>500000</v>
      </c>
      <c r="J471">
        <v>461</v>
      </c>
      <c r="K471" s="4">
        <f t="shared" si="48"/>
        <v>0</v>
      </c>
      <c r="L471" s="4">
        <f t="shared" si="49"/>
        <v>0</v>
      </c>
      <c r="M471" s="4">
        <f t="shared" si="50"/>
        <v>0</v>
      </c>
      <c r="N471" s="4">
        <f t="shared" si="51"/>
        <v>0</v>
      </c>
      <c r="O471" s="4">
        <f t="shared" si="52"/>
        <v>0</v>
      </c>
    </row>
    <row r="472" spans="2:15" x14ac:dyDescent="0.3">
      <c r="B472">
        <v>463</v>
      </c>
      <c r="C472" s="6"/>
      <c r="D472" s="6"/>
      <c r="E472" s="6"/>
      <c r="F472" s="6"/>
      <c r="G472" s="6"/>
      <c r="H472" s="23">
        <f t="shared" si="47"/>
        <v>500000</v>
      </c>
      <c r="J472">
        <v>462</v>
      </c>
      <c r="K472" s="4">
        <f t="shared" si="48"/>
        <v>0</v>
      </c>
      <c r="L472" s="4">
        <f t="shared" si="49"/>
        <v>0</v>
      </c>
      <c r="M472" s="4">
        <f t="shared" si="50"/>
        <v>0</v>
      </c>
      <c r="N472" s="4">
        <f t="shared" si="51"/>
        <v>0</v>
      </c>
      <c r="O472" s="4">
        <f t="shared" si="52"/>
        <v>0</v>
      </c>
    </row>
    <row r="473" spans="2:15" x14ac:dyDescent="0.3">
      <c r="B473">
        <v>464</v>
      </c>
      <c r="C473" s="6"/>
      <c r="D473" s="6"/>
      <c r="E473" s="6"/>
      <c r="F473" s="6"/>
      <c r="G473" s="6"/>
      <c r="H473" s="23">
        <f t="shared" si="47"/>
        <v>500000</v>
      </c>
      <c r="J473">
        <v>463</v>
      </c>
      <c r="K473" s="4">
        <f t="shared" si="48"/>
        <v>0</v>
      </c>
      <c r="L473" s="4">
        <f t="shared" si="49"/>
        <v>0</v>
      </c>
      <c r="M473" s="4">
        <f t="shared" si="50"/>
        <v>0</v>
      </c>
      <c r="N473" s="4">
        <f t="shared" si="51"/>
        <v>0</v>
      </c>
      <c r="O473" s="4">
        <f t="shared" si="52"/>
        <v>0</v>
      </c>
    </row>
    <row r="474" spans="2:15" x14ac:dyDescent="0.3">
      <c r="B474">
        <v>465</v>
      </c>
      <c r="C474" s="6"/>
      <c r="D474" s="6"/>
      <c r="E474" s="6"/>
      <c r="F474" s="6"/>
      <c r="G474" s="6"/>
      <c r="H474" s="23">
        <f t="shared" si="47"/>
        <v>500000</v>
      </c>
      <c r="J474">
        <v>464</v>
      </c>
      <c r="K474" s="4">
        <f t="shared" si="48"/>
        <v>0</v>
      </c>
      <c r="L474" s="4">
        <f t="shared" si="49"/>
        <v>0</v>
      </c>
      <c r="M474" s="4">
        <f t="shared" si="50"/>
        <v>0</v>
      </c>
      <c r="N474" s="4">
        <f t="shared" si="51"/>
        <v>0</v>
      </c>
      <c r="O474" s="4">
        <f t="shared" si="52"/>
        <v>0</v>
      </c>
    </row>
    <row r="475" spans="2:15" x14ac:dyDescent="0.3">
      <c r="B475">
        <v>466</v>
      </c>
      <c r="C475" s="6"/>
      <c r="D475" s="6"/>
      <c r="E475" s="6"/>
      <c r="F475" s="6"/>
      <c r="G475" s="6"/>
      <c r="H475" s="23">
        <f t="shared" si="47"/>
        <v>500000</v>
      </c>
      <c r="J475">
        <v>465</v>
      </c>
      <c r="K475" s="4">
        <f t="shared" si="48"/>
        <v>0</v>
      </c>
      <c r="L475" s="4">
        <f t="shared" si="49"/>
        <v>0</v>
      </c>
      <c r="M475" s="4">
        <f t="shared" si="50"/>
        <v>0</v>
      </c>
      <c r="N475" s="4">
        <f t="shared" si="51"/>
        <v>0</v>
      </c>
      <c r="O475" s="4">
        <f t="shared" si="52"/>
        <v>0</v>
      </c>
    </row>
    <row r="476" spans="2:15" x14ac:dyDescent="0.3">
      <c r="B476">
        <v>467</v>
      </c>
      <c r="C476" s="6"/>
      <c r="D476" s="6"/>
      <c r="E476" s="6"/>
      <c r="F476" s="6"/>
      <c r="G476" s="6"/>
      <c r="H476" s="23">
        <f t="shared" si="47"/>
        <v>500000</v>
      </c>
      <c r="J476">
        <v>466</v>
      </c>
      <c r="K476" s="4">
        <f t="shared" si="48"/>
        <v>0</v>
      </c>
      <c r="L476" s="4">
        <f t="shared" si="49"/>
        <v>0</v>
      </c>
      <c r="M476" s="4">
        <f t="shared" si="50"/>
        <v>0</v>
      </c>
      <c r="N476" s="4">
        <f t="shared" si="51"/>
        <v>0</v>
      </c>
      <c r="O476" s="4">
        <f t="shared" si="52"/>
        <v>0</v>
      </c>
    </row>
    <row r="477" spans="2:15" x14ac:dyDescent="0.3">
      <c r="B477">
        <v>468</v>
      </c>
      <c r="C477" s="6"/>
      <c r="D477" s="6"/>
      <c r="E477" s="6"/>
      <c r="F477" s="6"/>
      <c r="G477" s="6"/>
      <c r="H477" s="23">
        <f t="shared" si="47"/>
        <v>500000</v>
      </c>
      <c r="J477">
        <v>467</v>
      </c>
      <c r="K477" s="4">
        <f t="shared" si="48"/>
        <v>0</v>
      </c>
      <c r="L477" s="4">
        <f t="shared" si="49"/>
        <v>0</v>
      </c>
      <c r="M477" s="4">
        <f t="shared" si="50"/>
        <v>0</v>
      </c>
      <c r="N477" s="4">
        <f t="shared" si="51"/>
        <v>0</v>
      </c>
      <c r="O477" s="4">
        <f t="shared" si="52"/>
        <v>0</v>
      </c>
    </row>
    <row r="478" spans="2:15" x14ac:dyDescent="0.3">
      <c r="B478">
        <v>469</v>
      </c>
      <c r="C478" s="6"/>
      <c r="D478" s="6"/>
      <c r="E478" s="6"/>
      <c r="F478" s="6"/>
      <c r="G478" s="6"/>
      <c r="H478" s="23">
        <f t="shared" si="47"/>
        <v>500000</v>
      </c>
      <c r="J478">
        <v>468</v>
      </c>
      <c r="K478" s="4">
        <f t="shared" si="48"/>
        <v>0</v>
      </c>
      <c r="L478" s="4">
        <f t="shared" si="49"/>
        <v>0</v>
      </c>
      <c r="M478" s="4">
        <f t="shared" si="50"/>
        <v>0</v>
      </c>
      <c r="N478" s="4">
        <f t="shared" si="51"/>
        <v>0</v>
      </c>
      <c r="O478" s="4">
        <f t="shared" si="52"/>
        <v>0</v>
      </c>
    </row>
    <row r="479" spans="2:15" x14ac:dyDescent="0.3">
      <c r="B479">
        <v>470</v>
      </c>
      <c r="C479" s="6"/>
      <c r="D479" s="6"/>
      <c r="E479" s="6"/>
      <c r="F479" s="6"/>
      <c r="G479" s="6"/>
      <c r="H479" s="23">
        <f t="shared" si="47"/>
        <v>500000</v>
      </c>
      <c r="J479">
        <v>469</v>
      </c>
      <c r="K479" s="4">
        <f t="shared" si="48"/>
        <v>0</v>
      </c>
      <c r="L479" s="4">
        <f t="shared" si="49"/>
        <v>0</v>
      </c>
      <c r="M479" s="4">
        <f t="shared" si="50"/>
        <v>0</v>
      </c>
      <c r="N479" s="4">
        <f t="shared" si="51"/>
        <v>0</v>
      </c>
      <c r="O479" s="4">
        <f t="shared" si="52"/>
        <v>0</v>
      </c>
    </row>
    <row r="480" spans="2:15" x14ac:dyDescent="0.3">
      <c r="B480">
        <v>471</v>
      </c>
      <c r="C480" s="6"/>
      <c r="D480" s="6"/>
      <c r="E480" s="6"/>
      <c r="F480" s="6"/>
      <c r="G480" s="6"/>
      <c r="H480" s="23">
        <f t="shared" si="47"/>
        <v>500000</v>
      </c>
      <c r="J480">
        <v>470</v>
      </c>
      <c r="K480" s="4">
        <f t="shared" si="48"/>
        <v>0</v>
      </c>
      <c r="L480" s="4">
        <f t="shared" si="49"/>
        <v>0</v>
      </c>
      <c r="M480" s="4">
        <f t="shared" si="50"/>
        <v>0</v>
      </c>
      <c r="N480" s="4">
        <f t="shared" si="51"/>
        <v>0</v>
      </c>
      <c r="O480" s="4">
        <f t="shared" si="52"/>
        <v>0</v>
      </c>
    </row>
    <row r="481" spans="2:15" x14ac:dyDescent="0.3">
      <c r="B481">
        <v>472</v>
      </c>
      <c r="C481" s="6"/>
      <c r="D481" s="6"/>
      <c r="E481" s="6"/>
      <c r="F481" s="6"/>
      <c r="G481" s="6"/>
      <c r="H481" s="23">
        <f t="shared" si="47"/>
        <v>500000</v>
      </c>
      <c r="J481">
        <v>471</v>
      </c>
      <c r="K481" s="4">
        <f t="shared" si="48"/>
        <v>0</v>
      </c>
      <c r="L481" s="4">
        <f t="shared" si="49"/>
        <v>0</v>
      </c>
      <c r="M481" s="4">
        <f t="shared" si="50"/>
        <v>0</v>
      </c>
      <c r="N481" s="4">
        <f t="shared" si="51"/>
        <v>0</v>
      </c>
      <c r="O481" s="4">
        <f t="shared" si="52"/>
        <v>0</v>
      </c>
    </row>
    <row r="482" spans="2:15" x14ac:dyDescent="0.3">
      <c r="B482">
        <v>473</v>
      </c>
      <c r="C482" s="6"/>
      <c r="D482" s="6"/>
      <c r="E482" s="6"/>
      <c r="F482" s="6"/>
      <c r="G482" s="6"/>
      <c r="H482" s="23">
        <f t="shared" si="47"/>
        <v>500000</v>
      </c>
      <c r="J482">
        <v>472</v>
      </c>
      <c r="K482" s="4">
        <f t="shared" si="48"/>
        <v>0</v>
      </c>
      <c r="L482" s="4">
        <f t="shared" si="49"/>
        <v>0</v>
      </c>
      <c r="M482" s="4">
        <f t="shared" si="50"/>
        <v>0</v>
      </c>
      <c r="N482" s="4">
        <f t="shared" si="51"/>
        <v>0</v>
      </c>
      <c r="O482" s="4">
        <f t="shared" si="52"/>
        <v>0</v>
      </c>
    </row>
    <row r="483" spans="2:15" x14ac:dyDescent="0.3">
      <c r="B483">
        <v>474</v>
      </c>
      <c r="C483" s="6"/>
      <c r="D483" s="6"/>
      <c r="E483" s="6"/>
      <c r="F483" s="6"/>
      <c r="G483" s="6"/>
      <c r="H483" s="23">
        <f t="shared" si="47"/>
        <v>500000</v>
      </c>
      <c r="J483">
        <v>473</v>
      </c>
      <c r="K483" s="4">
        <f t="shared" si="48"/>
        <v>0</v>
      </c>
      <c r="L483" s="4">
        <f t="shared" si="49"/>
        <v>0</v>
      </c>
      <c r="M483" s="4">
        <f t="shared" si="50"/>
        <v>0</v>
      </c>
      <c r="N483" s="4">
        <f t="shared" si="51"/>
        <v>0</v>
      </c>
      <c r="O483" s="4">
        <f t="shared" si="52"/>
        <v>0</v>
      </c>
    </row>
    <row r="484" spans="2:15" x14ac:dyDescent="0.3">
      <c r="B484">
        <v>475</v>
      </c>
      <c r="C484" s="6"/>
      <c r="D484" s="6"/>
      <c r="E484" s="6"/>
      <c r="F484" s="6"/>
      <c r="G484" s="6"/>
      <c r="H484" s="23">
        <f t="shared" si="47"/>
        <v>500000</v>
      </c>
      <c r="J484">
        <v>474</v>
      </c>
      <c r="K484" s="4">
        <f t="shared" si="48"/>
        <v>0</v>
      </c>
      <c r="L484" s="4">
        <f t="shared" si="49"/>
        <v>0</v>
      </c>
      <c r="M484" s="4">
        <f t="shared" si="50"/>
        <v>0</v>
      </c>
      <c r="N484" s="4">
        <f t="shared" si="51"/>
        <v>0</v>
      </c>
      <c r="O484" s="4">
        <f t="shared" si="52"/>
        <v>0</v>
      </c>
    </row>
    <row r="485" spans="2:15" x14ac:dyDescent="0.3">
      <c r="B485">
        <v>476</v>
      </c>
      <c r="C485" s="6"/>
      <c r="D485" s="6"/>
      <c r="E485" s="6"/>
      <c r="F485" s="6"/>
      <c r="G485" s="6"/>
      <c r="H485" s="23">
        <f t="shared" si="47"/>
        <v>500000</v>
      </c>
      <c r="J485">
        <v>475</v>
      </c>
      <c r="K485" s="4">
        <f t="shared" si="48"/>
        <v>0</v>
      </c>
      <c r="L485" s="4">
        <f t="shared" si="49"/>
        <v>0</v>
      </c>
      <c r="M485" s="4">
        <f t="shared" si="50"/>
        <v>0</v>
      </c>
      <c r="N485" s="4">
        <f t="shared" si="51"/>
        <v>0</v>
      </c>
      <c r="O485" s="4">
        <f t="shared" si="52"/>
        <v>0</v>
      </c>
    </row>
    <row r="486" spans="2:15" x14ac:dyDescent="0.3">
      <c r="B486">
        <v>477</v>
      </c>
      <c r="C486" s="6"/>
      <c r="D486" s="6"/>
      <c r="E486" s="6"/>
      <c r="F486" s="6"/>
      <c r="G486" s="6"/>
      <c r="H486" s="23">
        <f t="shared" si="47"/>
        <v>500000</v>
      </c>
      <c r="J486">
        <v>476</v>
      </c>
      <c r="K486" s="4">
        <f t="shared" si="48"/>
        <v>0</v>
      </c>
      <c r="L486" s="4">
        <f t="shared" si="49"/>
        <v>0</v>
      </c>
      <c r="M486" s="4">
        <f t="shared" si="50"/>
        <v>0</v>
      </c>
      <c r="N486" s="4">
        <f t="shared" si="51"/>
        <v>0</v>
      </c>
      <c r="O486" s="4">
        <f t="shared" si="52"/>
        <v>0</v>
      </c>
    </row>
    <row r="487" spans="2:15" x14ac:dyDescent="0.3">
      <c r="B487">
        <v>478</v>
      </c>
      <c r="C487" s="6"/>
      <c r="D487" s="6"/>
      <c r="E487" s="6"/>
      <c r="F487" s="6"/>
      <c r="G487" s="6"/>
      <c r="H487" s="23">
        <f t="shared" si="47"/>
        <v>500000</v>
      </c>
      <c r="J487">
        <v>477</v>
      </c>
      <c r="K487" s="4">
        <f t="shared" si="48"/>
        <v>0</v>
      </c>
      <c r="L487" s="4">
        <f t="shared" si="49"/>
        <v>0</v>
      </c>
      <c r="M487" s="4">
        <f t="shared" si="50"/>
        <v>0</v>
      </c>
      <c r="N487" s="4">
        <f t="shared" si="51"/>
        <v>0</v>
      </c>
      <c r="O487" s="4">
        <f t="shared" si="52"/>
        <v>0</v>
      </c>
    </row>
    <row r="488" spans="2:15" x14ac:dyDescent="0.3">
      <c r="B488">
        <v>479</v>
      </c>
      <c r="C488" s="6"/>
      <c r="D488" s="6"/>
      <c r="E488" s="6"/>
      <c r="F488" s="6"/>
      <c r="G488" s="6"/>
      <c r="H488" s="23">
        <f t="shared" si="47"/>
        <v>500000</v>
      </c>
      <c r="J488">
        <v>478</v>
      </c>
      <c r="K488" s="4">
        <f t="shared" si="48"/>
        <v>0</v>
      </c>
      <c r="L488" s="4">
        <f t="shared" si="49"/>
        <v>0</v>
      </c>
      <c r="M488" s="4">
        <f t="shared" si="50"/>
        <v>0</v>
      </c>
      <c r="N488" s="4">
        <f t="shared" si="51"/>
        <v>0</v>
      </c>
      <c r="O488" s="4">
        <f t="shared" si="52"/>
        <v>0</v>
      </c>
    </row>
    <row r="489" spans="2:15" x14ac:dyDescent="0.3">
      <c r="B489">
        <v>480</v>
      </c>
      <c r="C489" s="6"/>
      <c r="D489" s="6"/>
      <c r="E489" s="6"/>
      <c r="F489" s="6"/>
      <c r="G489" s="6"/>
      <c r="H489" s="23">
        <f t="shared" si="47"/>
        <v>500000</v>
      </c>
      <c r="J489">
        <v>479</v>
      </c>
      <c r="K489" s="4">
        <f t="shared" si="48"/>
        <v>0</v>
      </c>
      <c r="L489" s="4">
        <f t="shared" si="49"/>
        <v>0</v>
      </c>
      <c r="M489" s="4">
        <f t="shared" si="50"/>
        <v>0</v>
      </c>
      <c r="N489" s="4">
        <f t="shared" si="51"/>
        <v>0</v>
      </c>
      <c r="O489" s="4">
        <f t="shared" si="52"/>
        <v>0</v>
      </c>
    </row>
    <row r="490" spans="2:15" x14ac:dyDescent="0.3">
      <c r="B490">
        <v>481</v>
      </c>
      <c r="C490" s="6"/>
      <c r="D490" s="6"/>
      <c r="E490" s="6"/>
      <c r="F490" s="6"/>
      <c r="G490" s="6"/>
      <c r="H490" s="23">
        <f t="shared" si="47"/>
        <v>500000</v>
      </c>
      <c r="J490">
        <v>480</v>
      </c>
      <c r="K490" s="4">
        <f t="shared" si="48"/>
        <v>0</v>
      </c>
      <c r="L490" s="4">
        <f t="shared" si="49"/>
        <v>0</v>
      </c>
      <c r="M490" s="4">
        <f t="shared" si="50"/>
        <v>0</v>
      </c>
      <c r="N490" s="4">
        <f t="shared" si="51"/>
        <v>0</v>
      </c>
      <c r="O490" s="4">
        <f t="shared" si="52"/>
        <v>0</v>
      </c>
    </row>
    <row r="491" spans="2:15" x14ac:dyDescent="0.3">
      <c r="B491">
        <v>482</v>
      </c>
      <c r="C491" s="6"/>
      <c r="D491" s="6"/>
      <c r="E491" s="6"/>
      <c r="F491" s="6"/>
      <c r="G491" s="6"/>
      <c r="H491" s="23">
        <f t="shared" si="47"/>
        <v>500000</v>
      </c>
      <c r="J491">
        <v>481</v>
      </c>
      <c r="K491" s="4">
        <f t="shared" si="48"/>
        <v>0</v>
      </c>
      <c r="L491" s="4">
        <f t="shared" si="49"/>
        <v>0</v>
      </c>
      <c r="M491" s="4">
        <f t="shared" si="50"/>
        <v>0</v>
      </c>
      <c r="N491" s="4">
        <f t="shared" si="51"/>
        <v>0</v>
      </c>
      <c r="O491" s="4">
        <f t="shared" si="52"/>
        <v>0</v>
      </c>
    </row>
    <row r="492" spans="2:15" x14ac:dyDescent="0.3">
      <c r="B492">
        <v>483</v>
      </c>
      <c r="C492" s="6"/>
      <c r="D492" s="6"/>
      <c r="E492" s="6"/>
      <c r="F492" s="6"/>
      <c r="G492" s="6"/>
      <c r="H492" s="23">
        <f t="shared" si="47"/>
        <v>500000</v>
      </c>
      <c r="J492">
        <v>482</v>
      </c>
      <c r="K492" s="4">
        <f t="shared" si="48"/>
        <v>0</v>
      </c>
      <c r="L492" s="4">
        <f t="shared" si="49"/>
        <v>0</v>
      </c>
      <c r="M492" s="4">
        <f t="shared" si="50"/>
        <v>0</v>
      </c>
      <c r="N492" s="4">
        <f t="shared" si="51"/>
        <v>0</v>
      </c>
      <c r="O492" s="4">
        <f t="shared" si="52"/>
        <v>0</v>
      </c>
    </row>
    <row r="493" spans="2:15" x14ac:dyDescent="0.3">
      <c r="B493">
        <v>484</v>
      </c>
      <c r="C493" s="6"/>
      <c r="D493" s="6"/>
      <c r="E493" s="6"/>
      <c r="F493" s="6"/>
      <c r="G493" s="6"/>
      <c r="H493" s="23">
        <f t="shared" si="47"/>
        <v>500000</v>
      </c>
      <c r="J493">
        <v>483</v>
      </c>
      <c r="K493" s="4">
        <f t="shared" si="48"/>
        <v>0</v>
      </c>
      <c r="L493" s="4">
        <f t="shared" si="49"/>
        <v>0</v>
      </c>
      <c r="M493" s="4">
        <f t="shared" si="50"/>
        <v>0</v>
      </c>
      <c r="N493" s="4">
        <f t="shared" si="51"/>
        <v>0</v>
      </c>
      <c r="O493" s="4">
        <f t="shared" si="52"/>
        <v>0</v>
      </c>
    </row>
    <row r="494" spans="2:15" x14ac:dyDescent="0.3">
      <c r="B494">
        <v>485</v>
      </c>
      <c r="C494" s="6"/>
      <c r="D494" s="6"/>
      <c r="E494" s="6"/>
      <c r="F494" s="6"/>
      <c r="G494" s="6"/>
      <c r="H494" s="23">
        <f t="shared" si="47"/>
        <v>500000</v>
      </c>
      <c r="J494">
        <v>484</v>
      </c>
      <c r="K494" s="4">
        <f t="shared" si="48"/>
        <v>0</v>
      </c>
      <c r="L494" s="4">
        <f t="shared" si="49"/>
        <v>0</v>
      </c>
      <c r="M494" s="4">
        <f t="shared" si="50"/>
        <v>0</v>
      </c>
      <c r="N494" s="4">
        <f t="shared" si="51"/>
        <v>0</v>
      </c>
      <c r="O494" s="4">
        <f t="shared" si="52"/>
        <v>0</v>
      </c>
    </row>
    <row r="495" spans="2:15" x14ac:dyDescent="0.3">
      <c r="B495">
        <v>486</v>
      </c>
      <c r="C495" s="6"/>
      <c r="D495" s="6"/>
      <c r="E495" s="6"/>
      <c r="F495" s="6"/>
      <c r="G495" s="6"/>
      <c r="H495" s="23">
        <f t="shared" si="47"/>
        <v>500000</v>
      </c>
      <c r="J495">
        <v>485</v>
      </c>
      <c r="K495" s="4">
        <f t="shared" si="48"/>
        <v>0</v>
      </c>
      <c r="L495" s="4">
        <f t="shared" si="49"/>
        <v>0</v>
      </c>
      <c r="M495" s="4">
        <f t="shared" si="50"/>
        <v>0</v>
      </c>
      <c r="N495" s="4">
        <f t="shared" si="51"/>
        <v>0</v>
      </c>
      <c r="O495" s="4">
        <f t="shared" si="52"/>
        <v>0</v>
      </c>
    </row>
    <row r="496" spans="2:15" x14ac:dyDescent="0.3">
      <c r="B496">
        <v>487</v>
      </c>
      <c r="C496" s="6"/>
      <c r="D496" s="6"/>
      <c r="E496" s="6"/>
      <c r="F496" s="6"/>
      <c r="G496" s="6"/>
      <c r="H496" s="23">
        <f t="shared" si="47"/>
        <v>500000</v>
      </c>
      <c r="J496">
        <v>486</v>
      </c>
      <c r="K496" s="4">
        <f t="shared" si="48"/>
        <v>0</v>
      </c>
      <c r="L496" s="4">
        <f t="shared" si="49"/>
        <v>0</v>
      </c>
      <c r="M496" s="4">
        <f t="shared" si="50"/>
        <v>0</v>
      </c>
      <c r="N496" s="4">
        <f t="shared" si="51"/>
        <v>0</v>
      </c>
      <c r="O496" s="4">
        <f t="shared" si="52"/>
        <v>0</v>
      </c>
    </row>
    <row r="497" spans="2:15" x14ac:dyDescent="0.3">
      <c r="B497">
        <v>488</v>
      </c>
      <c r="C497" s="6"/>
      <c r="D497" s="6"/>
      <c r="E497" s="6"/>
      <c r="F497" s="6"/>
      <c r="G497" s="6"/>
      <c r="H497" s="23">
        <f t="shared" si="47"/>
        <v>500000</v>
      </c>
      <c r="J497">
        <v>487</v>
      </c>
      <c r="K497" s="4">
        <f t="shared" si="48"/>
        <v>0</v>
      </c>
      <c r="L497" s="4">
        <f t="shared" si="49"/>
        <v>0</v>
      </c>
      <c r="M497" s="4">
        <f t="shared" si="50"/>
        <v>0</v>
      </c>
      <c r="N497" s="4">
        <f t="shared" si="51"/>
        <v>0</v>
      </c>
      <c r="O497" s="4">
        <f t="shared" si="52"/>
        <v>0</v>
      </c>
    </row>
    <row r="498" spans="2:15" x14ac:dyDescent="0.3">
      <c r="B498">
        <v>489</v>
      </c>
      <c r="C498" s="6"/>
      <c r="D498" s="6"/>
      <c r="E498" s="6"/>
      <c r="F498" s="6"/>
      <c r="G498" s="6"/>
      <c r="H498" s="23">
        <f t="shared" si="47"/>
        <v>500000</v>
      </c>
      <c r="J498">
        <v>488</v>
      </c>
      <c r="K498" s="4">
        <f t="shared" si="48"/>
        <v>0</v>
      </c>
      <c r="L498" s="4">
        <f t="shared" si="49"/>
        <v>0</v>
      </c>
      <c r="M498" s="4">
        <f t="shared" si="50"/>
        <v>0</v>
      </c>
      <c r="N498" s="4">
        <f t="shared" si="51"/>
        <v>0</v>
      </c>
      <c r="O498" s="4">
        <f t="shared" si="52"/>
        <v>0</v>
      </c>
    </row>
    <row r="499" spans="2:15" x14ac:dyDescent="0.3">
      <c r="B499">
        <v>490</v>
      </c>
      <c r="C499" s="6"/>
      <c r="D499" s="6"/>
      <c r="E499" s="6"/>
      <c r="F499" s="6"/>
      <c r="G499" s="6"/>
      <c r="H499" s="23">
        <f t="shared" si="47"/>
        <v>500000</v>
      </c>
      <c r="J499">
        <v>489</v>
      </c>
      <c r="K499" s="4">
        <f t="shared" si="48"/>
        <v>0</v>
      </c>
      <c r="L499" s="4">
        <f t="shared" si="49"/>
        <v>0</v>
      </c>
      <c r="M499" s="4">
        <f t="shared" si="50"/>
        <v>0</v>
      </c>
      <c r="N499" s="4">
        <f t="shared" si="51"/>
        <v>0</v>
      </c>
      <c r="O499" s="4">
        <f t="shared" si="52"/>
        <v>0</v>
      </c>
    </row>
    <row r="500" spans="2:15" x14ac:dyDescent="0.3">
      <c r="B500">
        <v>491</v>
      </c>
      <c r="C500" s="6"/>
      <c r="D500" s="6"/>
      <c r="E500" s="6"/>
      <c r="F500" s="6"/>
      <c r="G500" s="6"/>
      <c r="H500" s="23">
        <f t="shared" si="47"/>
        <v>500000</v>
      </c>
      <c r="J500">
        <v>490</v>
      </c>
      <c r="K500" s="4">
        <f t="shared" si="48"/>
        <v>0</v>
      </c>
      <c r="L500" s="4">
        <f t="shared" si="49"/>
        <v>0</v>
      </c>
      <c r="M500" s="4">
        <f t="shared" si="50"/>
        <v>0</v>
      </c>
      <c r="N500" s="4">
        <f t="shared" si="51"/>
        <v>0</v>
      </c>
      <c r="O500" s="4">
        <f t="shared" si="52"/>
        <v>0</v>
      </c>
    </row>
    <row r="501" spans="2:15" x14ac:dyDescent="0.3">
      <c r="B501">
        <v>492</v>
      </c>
      <c r="C501" s="6"/>
      <c r="D501" s="6"/>
      <c r="E501" s="6"/>
      <c r="F501" s="6"/>
      <c r="G501" s="6"/>
      <c r="H501" s="23">
        <f t="shared" si="47"/>
        <v>500000</v>
      </c>
      <c r="J501">
        <v>491</v>
      </c>
      <c r="K501" s="4">
        <f t="shared" si="48"/>
        <v>0</v>
      </c>
      <c r="L501" s="4">
        <f t="shared" si="49"/>
        <v>0</v>
      </c>
      <c r="M501" s="4">
        <f t="shared" si="50"/>
        <v>0</v>
      </c>
      <c r="N501" s="4">
        <f t="shared" si="51"/>
        <v>0</v>
      </c>
      <c r="O501" s="4">
        <f t="shared" si="52"/>
        <v>0</v>
      </c>
    </row>
    <row r="502" spans="2:15" x14ac:dyDescent="0.3">
      <c r="B502">
        <v>493</v>
      </c>
      <c r="C502" s="6"/>
      <c r="D502" s="6"/>
      <c r="E502" s="6"/>
      <c r="F502" s="6"/>
      <c r="G502" s="6"/>
      <c r="H502" s="23">
        <f t="shared" si="47"/>
        <v>500000</v>
      </c>
      <c r="J502">
        <v>492</v>
      </c>
      <c r="K502" s="4">
        <f t="shared" si="48"/>
        <v>0</v>
      </c>
      <c r="L502" s="4">
        <f t="shared" si="49"/>
        <v>0</v>
      </c>
      <c r="M502" s="4">
        <f t="shared" si="50"/>
        <v>0</v>
      </c>
      <c r="N502" s="4">
        <f t="shared" si="51"/>
        <v>0</v>
      </c>
      <c r="O502" s="4">
        <f t="shared" si="52"/>
        <v>0</v>
      </c>
    </row>
    <row r="503" spans="2:15" x14ac:dyDescent="0.3">
      <c r="B503">
        <v>494</v>
      </c>
      <c r="C503" s="6"/>
      <c r="D503" s="6"/>
      <c r="E503" s="6"/>
      <c r="F503" s="6"/>
      <c r="G503" s="6"/>
      <c r="H503" s="23">
        <f t="shared" si="47"/>
        <v>500000</v>
      </c>
      <c r="J503">
        <v>493</v>
      </c>
      <c r="K503" s="4">
        <f t="shared" si="48"/>
        <v>0</v>
      </c>
      <c r="L503" s="4">
        <f t="shared" si="49"/>
        <v>0</v>
      </c>
      <c r="M503" s="4">
        <f t="shared" si="50"/>
        <v>0</v>
      </c>
      <c r="N503" s="4">
        <f t="shared" si="51"/>
        <v>0</v>
      </c>
      <c r="O503" s="4">
        <f t="shared" si="52"/>
        <v>0</v>
      </c>
    </row>
    <row r="504" spans="2:15" x14ac:dyDescent="0.3">
      <c r="B504">
        <v>495</v>
      </c>
      <c r="C504" s="6"/>
      <c r="D504" s="6"/>
      <c r="E504" s="6"/>
      <c r="F504" s="6"/>
      <c r="G504" s="6"/>
      <c r="H504" s="23">
        <f t="shared" si="47"/>
        <v>500000</v>
      </c>
      <c r="J504">
        <v>494</v>
      </c>
      <c r="K504" s="4">
        <f t="shared" si="48"/>
        <v>0</v>
      </c>
      <c r="L504" s="4">
        <f t="shared" si="49"/>
        <v>0</v>
      </c>
      <c r="M504" s="4">
        <f t="shared" si="50"/>
        <v>0</v>
      </c>
      <c r="N504" s="4">
        <f t="shared" si="51"/>
        <v>0</v>
      </c>
      <c r="O504" s="4">
        <f t="shared" si="52"/>
        <v>0</v>
      </c>
    </row>
    <row r="505" spans="2:15" x14ac:dyDescent="0.3">
      <c r="B505">
        <v>496</v>
      </c>
      <c r="C505" s="6"/>
      <c r="D505" s="6"/>
      <c r="E505" s="6"/>
      <c r="F505" s="6"/>
      <c r="G505" s="6"/>
      <c r="H505" s="23">
        <f t="shared" si="47"/>
        <v>500000</v>
      </c>
      <c r="J505">
        <v>495</v>
      </c>
      <c r="K505" s="4">
        <f t="shared" si="48"/>
        <v>0</v>
      </c>
      <c r="L505" s="4">
        <f t="shared" si="49"/>
        <v>0</v>
      </c>
      <c r="M505" s="4">
        <f t="shared" si="50"/>
        <v>0</v>
      </c>
      <c r="N505" s="4">
        <f t="shared" si="51"/>
        <v>0</v>
      </c>
      <c r="O505" s="4">
        <f t="shared" si="52"/>
        <v>0</v>
      </c>
    </row>
    <row r="506" spans="2:15" x14ac:dyDescent="0.3">
      <c r="B506">
        <v>497</v>
      </c>
      <c r="C506" s="6"/>
      <c r="D506" s="6"/>
      <c r="E506" s="6"/>
      <c r="F506" s="6"/>
      <c r="G506" s="6"/>
      <c r="H506" s="23">
        <f t="shared" si="47"/>
        <v>500000</v>
      </c>
      <c r="J506">
        <v>496</v>
      </c>
      <c r="K506" s="4">
        <f t="shared" si="48"/>
        <v>0</v>
      </c>
      <c r="L506" s="4">
        <f t="shared" si="49"/>
        <v>0</v>
      </c>
      <c r="M506" s="4">
        <f t="shared" si="50"/>
        <v>0</v>
      </c>
      <c r="N506" s="4">
        <f t="shared" si="51"/>
        <v>0</v>
      </c>
      <c r="O506" s="4">
        <f t="shared" si="52"/>
        <v>0</v>
      </c>
    </row>
    <row r="507" spans="2:15" x14ac:dyDescent="0.3">
      <c r="B507">
        <v>498</v>
      </c>
      <c r="C507" s="6"/>
      <c r="D507" s="6"/>
      <c r="E507" s="6"/>
      <c r="F507" s="6"/>
      <c r="G507" s="6"/>
      <c r="H507" s="23">
        <f t="shared" si="47"/>
        <v>500000</v>
      </c>
      <c r="J507">
        <v>497</v>
      </c>
      <c r="K507" s="4">
        <f t="shared" si="48"/>
        <v>0</v>
      </c>
      <c r="L507" s="4">
        <f t="shared" si="49"/>
        <v>0</v>
      </c>
      <c r="M507" s="4">
        <f t="shared" si="50"/>
        <v>0</v>
      </c>
      <c r="N507" s="4">
        <f t="shared" si="51"/>
        <v>0</v>
      </c>
      <c r="O507" s="4">
        <f t="shared" si="52"/>
        <v>0</v>
      </c>
    </row>
    <row r="508" spans="2:15" x14ac:dyDescent="0.3">
      <c r="B508">
        <v>499</v>
      </c>
      <c r="C508" s="6"/>
      <c r="D508" s="6"/>
      <c r="E508" s="6"/>
      <c r="F508" s="6"/>
      <c r="G508" s="6"/>
      <c r="H508" s="23">
        <f t="shared" si="47"/>
        <v>500000</v>
      </c>
      <c r="J508">
        <v>498</v>
      </c>
      <c r="K508" s="4">
        <f t="shared" si="48"/>
        <v>0</v>
      </c>
      <c r="L508" s="4">
        <f t="shared" si="49"/>
        <v>0</v>
      </c>
      <c r="M508" s="4">
        <f t="shared" si="50"/>
        <v>0</v>
      </c>
      <c r="N508" s="4">
        <f t="shared" si="51"/>
        <v>0</v>
      </c>
      <c r="O508" s="4">
        <f t="shared" si="52"/>
        <v>0</v>
      </c>
    </row>
    <row r="509" spans="2:15" x14ac:dyDescent="0.3">
      <c r="B509">
        <v>500</v>
      </c>
      <c r="C509" s="6"/>
      <c r="D509" s="6"/>
      <c r="E509" s="6"/>
      <c r="F509" s="6"/>
      <c r="G509" s="6"/>
      <c r="H509" s="23">
        <f t="shared" si="47"/>
        <v>500000</v>
      </c>
      <c r="J509">
        <v>499</v>
      </c>
      <c r="K509" s="4">
        <f t="shared" si="48"/>
        <v>0</v>
      </c>
      <c r="L509" s="4">
        <f t="shared" si="49"/>
        <v>0</v>
      </c>
      <c r="M509" s="4">
        <f t="shared" si="50"/>
        <v>0</v>
      </c>
      <c r="N509" s="4">
        <f t="shared" si="51"/>
        <v>0</v>
      </c>
      <c r="O509" s="4">
        <f t="shared" si="52"/>
        <v>0</v>
      </c>
    </row>
    <row r="510" spans="2:15" x14ac:dyDescent="0.3">
      <c r="B510">
        <v>501</v>
      </c>
      <c r="C510" s="6"/>
      <c r="D510" s="6"/>
      <c r="E510" s="6"/>
      <c r="F510" s="6"/>
      <c r="G510" s="6"/>
      <c r="H510" s="23">
        <f t="shared" si="47"/>
        <v>500000</v>
      </c>
      <c r="J510">
        <v>500</v>
      </c>
      <c r="K510" s="4">
        <f t="shared" si="48"/>
        <v>0</v>
      </c>
      <c r="L510" s="4">
        <f t="shared" si="49"/>
        <v>0</v>
      </c>
      <c r="M510" s="4">
        <f t="shared" si="50"/>
        <v>0</v>
      </c>
      <c r="N510" s="4">
        <f t="shared" si="51"/>
        <v>0</v>
      </c>
      <c r="O510" s="4">
        <f t="shared" si="52"/>
        <v>0</v>
      </c>
    </row>
    <row r="511" spans="2:15" x14ac:dyDescent="0.3">
      <c r="B511">
        <v>502</v>
      </c>
      <c r="C511" s="6"/>
      <c r="D511" s="6"/>
      <c r="E511" s="6"/>
      <c r="F511" s="6"/>
      <c r="G511" s="6"/>
      <c r="H511" s="23">
        <f t="shared" si="47"/>
        <v>500000</v>
      </c>
      <c r="J511">
        <v>501</v>
      </c>
      <c r="K511" s="4">
        <f t="shared" si="48"/>
        <v>0</v>
      </c>
      <c r="L511" s="4">
        <f t="shared" si="49"/>
        <v>0</v>
      </c>
      <c r="M511" s="4">
        <f t="shared" si="50"/>
        <v>0</v>
      </c>
      <c r="N511" s="4">
        <f t="shared" si="51"/>
        <v>0</v>
      </c>
      <c r="O511" s="4">
        <f t="shared" si="52"/>
        <v>0</v>
      </c>
    </row>
    <row r="512" spans="2:15" x14ac:dyDescent="0.3">
      <c r="B512">
        <v>503</v>
      </c>
      <c r="C512" s="6"/>
      <c r="D512" s="6"/>
      <c r="E512" s="6"/>
      <c r="F512" s="6"/>
      <c r="G512" s="6"/>
      <c r="H512" s="23">
        <f t="shared" si="47"/>
        <v>500000</v>
      </c>
      <c r="J512">
        <v>502</v>
      </c>
      <c r="K512" s="4">
        <f t="shared" si="48"/>
        <v>0</v>
      </c>
      <c r="L512" s="4">
        <f t="shared" si="49"/>
        <v>0</v>
      </c>
      <c r="M512" s="4">
        <f t="shared" si="50"/>
        <v>0</v>
      </c>
      <c r="N512" s="4">
        <f t="shared" si="51"/>
        <v>0</v>
      </c>
      <c r="O512" s="4">
        <f t="shared" si="52"/>
        <v>0</v>
      </c>
    </row>
    <row r="513" spans="2:15" x14ac:dyDescent="0.3">
      <c r="B513">
        <v>504</v>
      </c>
      <c r="C513" s="6"/>
      <c r="D513" s="6"/>
      <c r="E513" s="6"/>
      <c r="F513" s="6"/>
      <c r="G513" s="6"/>
      <c r="H513" s="23">
        <f t="shared" si="47"/>
        <v>500000</v>
      </c>
      <c r="J513">
        <v>503</v>
      </c>
      <c r="K513" s="4">
        <f t="shared" si="48"/>
        <v>0</v>
      </c>
      <c r="L513" s="4">
        <f t="shared" si="49"/>
        <v>0</v>
      </c>
      <c r="M513" s="4">
        <f t="shared" si="50"/>
        <v>0</v>
      </c>
      <c r="N513" s="4">
        <f t="shared" si="51"/>
        <v>0</v>
      </c>
      <c r="O513" s="4">
        <f t="shared" si="52"/>
        <v>0</v>
      </c>
    </row>
    <row r="514" spans="2:15" x14ac:dyDescent="0.3">
      <c r="B514">
        <v>505</v>
      </c>
      <c r="C514" s="6"/>
      <c r="D514" s="6"/>
      <c r="E514" s="6"/>
      <c r="F514" s="6"/>
      <c r="G514" s="6"/>
      <c r="H514" s="23">
        <f t="shared" si="47"/>
        <v>500000</v>
      </c>
      <c r="J514">
        <v>504</v>
      </c>
      <c r="K514" s="4">
        <f t="shared" si="48"/>
        <v>0</v>
      </c>
      <c r="L514" s="4">
        <f t="shared" si="49"/>
        <v>0</v>
      </c>
      <c r="M514" s="4">
        <f t="shared" si="50"/>
        <v>0</v>
      </c>
      <c r="N514" s="4">
        <f t="shared" si="51"/>
        <v>0</v>
      </c>
      <c r="O514" s="4">
        <f t="shared" si="52"/>
        <v>0</v>
      </c>
    </row>
    <row r="515" spans="2:15" x14ac:dyDescent="0.3">
      <c r="B515">
        <v>506</v>
      </c>
      <c r="C515" s="6"/>
      <c r="D515" s="6"/>
      <c r="E515" s="6"/>
      <c r="F515" s="6"/>
      <c r="G515" s="6"/>
      <c r="H515" s="23">
        <f t="shared" si="47"/>
        <v>500000</v>
      </c>
      <c r="J515">
        <v>505</v>
      </c>
      <c r="K515" s="4">
        <f t="shared" si="48"/>
        <v>0</v>
      </c>
      <c r="L515" s="4">
        <f t="shared" si="49"/>
        <v>0</v>
      </c>
      <c r="M515" s="4">
        <f t="shared" si="50"/>
        <v>0</v>
      </c>
      <c r="N515" s="4">
        <f t="shared" si="51"/>
        <v>0</v>
      </c>
      <c r="O515" s="4">
        <f t="shared" si="52"/>
        <v>0</v>
      </c>
    </row>
    <row r="516" spans="2:15" x14ac:dyDescent="0.3">
      <c r="B516">
        <v>507</v>
      </c>
      <c r="C516" s="6"/>
      <c r="D516" s="6"/>
      <c r="E516" s="6"/>
      <c r="F516" s="6"/>
      <c r="G516" s="6"/>
      <c r="H516" s="23">
        <f t="shared" si="47"/>
        <v>500000</v>
      </c>
      <c r="J516">
        <v>506</v>
      </c>
      <c r="K516" s="4">
        <f t="shared" si="48"/>
        <v>0</v>
      </c>
      <c r="L516" s="4">
        <f t="shared" si="49"/>
        <v>0</v>
      </c>
      <c r="M516" s="4">
        <f t="shared" si="50"/>
        <v>0</v>
      </c>
      <c r="N516" s="4">
        <f t="shared" si="51"/>
        <v>0</v>
      </c>
      <c r="O516" s="4">
        <f t="shared" si="52"/>
        <v>0</v>
      </c>
    </row>
    <row r="517" spans="2:15" x14ac:dyDescent="0.3">
      <c r="B517">
        <v>508</v>
      </c>
      <c r="C517" s="6"/>
      <c r="D517" s="6"/>
      <c r="E517" s="6"/>
      <c r="F517" s="6"/>
      <c r="G517" s="6"/>
      <c r="H517" s="23">
        <f t="shared" si="47"/>
        <v>500000</v>
      </c>
      <c r="J517">
        <v>507</v>
      </c>
      <c r="K517" s="4">
        <f t="shared" si="48"/>
        <v>0</v>
      </c>
      <c r="L517" s="4">
        <f t="shared" si="49"/>
        <v>0</v>
      </c>
      <c r="M517" s="4">
        <f t="shared" si="50"/>
        <v>0</v>
      </c>
      <c r="N517" s="4">
        <f t="shared" si="51"/>
        <v>0</v>
      </c>
      <c r="O517" s="4">
        <f t="shared" si="52"/>
        <v>0</v>
      </c>
    </row>
    <row r="518" spans="2:15" x14ac:dyDescent="0.3">
      <c r="B518">
        <v>509</v>
      </c>
      <c r="C518" s="6"/>
      <c r="D518" s="6"/>
      <c r="E518" s="6"/>
      <c r="F518" s="6"/>
      <c r="G518" s="6"/>
      <c r="H518" s="23">
        <f t="shared" ref="H518:H581" si="53">F518+H517</f>
        <v>500000</v>
      </c>
      <c r="J518">
        <v>508</v>
      </c>
      <c r="K518" s="4">
        <f t="shared" si="48"/>
        <v>0</v>
      </c>
      <c r="L518" s="4">
        <f t="shared" si="49"/>
        <v>0</v>
      </c>
      <c r="M518" s="4">
        <f t="shared" si="50"/>
        <v>0</v>
      </c>
      <c r="N518" s="4">
        <f t="shared" si="51"/>
        <v>0</v>
      </c>
      <c r="O518" s="4">
        <f t="shared" si="52"/>
        <v>0</v>
      </c>
    </row>
    <row r="519" spans="2:15" x14ac:dyDescent="0.3">
      <c r="B519">
        <v>510</v>
      </c>
      <c r="C519" s="6"/>
      <c r="D519" s="6"/>
      <c r="E519" s="6"/>
      <c r="F519" s="6"/>
      <c r="G519" s="6"/>
      <c r="H519" s="23">
        <f t="shared" si="53"/>
        <v>500000</v>
      </c>
      <c r="J519">
        <v>509</v>
      </c>
      <c r="K519" s="4">
        <f t="shared" si="48"/>
        <v>0</v>
      </c>
      <c r="L519" s="4">
        <f t="shared" si="49"/>
        <v>0</v>
      </c>
      <c r="M519" s="4">
        <f t="shared" si="50"/>
        <v>0</v>
      </c>
      <c r="N519" s="4">
        <f t="shared" si="51"/>
        <v>0</v>
      </c>
      <c r="O519" s="4">
        <f t="shared" si="52"/>
        <v>0</v>
      </c>
    </row>
    <row r="520" spans="2:15" x14ac:dyDescent="0.3">
      <c r="B520">
        <v>511</v>
      </c>
      <c r="C520" s="6"/>
      <c r="D520" s="6"/>
      <c r="E520" s="6"/>
      <c r="F520" s="6"/>
      <c r="G520" s="6"/>
      <c r="H520" s="23">
        <f t="shared" si="53"/>
        <v>500000</v>
      </c>
      <c r="J520">
        <v>510</v>
      </c>
      <c r="K520" s="4">
        <f t="shared" si="48"/>
        <v>0</v>
      </c>
      <c r="L520" s="4">
        <f t="shared" si="49"/>
        <v>0</v>
      </c>
      <c r="M520" s="4">
        <f t="shared" si="50"/>
        <v>0</v>
      </c>
      <c r="N520" s="4">
        <f t="shared" si="51"/>
        <v>0</v>
      </c>
      <c r="O520" s="4">
        <f t="shared" si="52"/>
        <v>0</v>
      </c>
    </row>
    <row r="521" spans="2:15" x14ac:dyDescent="0.3">
      <c r="B521">
        <v>512</v>
      </c>
      <c r="C521" s="6"/>
      <c r="D521" s="6"/>
      <c r="E521" s="6"/>
      <c r="F521" s="6"/>
      <c r="G521" s="6"/>
      <c r="H521" s="23">
        <f t="shared" si="53"/>
        <v>500000</v>
      </c>
      <c r="J521">
        <v>511</v>
      </c>
      <c r="K521" s="4">
        <f t="shared" si="48"/>
        <v>0</v>
      </c>
      <c r="L521" s="4">
        <f t="shared" si="49"/>
        <v>0</v>
      </c>
      <c r="M521" s="4">
        <f t="shared" si="50"/>
        <v>0</v>
      </c>
      <c r="N521" s="4">
        <f t="shared" si="51"/>
        <v>0</v>
      </c>
      <c r="O521" s="4">
        <f t="shared" si="52"/>
        <v>0</v>
      </c>
    </row>
    <row r="522" spans="2:15" x14ac:dyDescent="0.3">
      <c r="B522">
        <v>513</v>
      </c>
      <c r="C522" s="6"/>
      <c r="D522" s="6"/>
      <c r="E522" s="6"/>
      <c r="F522" s="6"/>
      <c r="G522" s="6"/>
      <c r="H522" s="23">
        <f t="shared" si="53"/>
        <v>500000</v>
      </c>
      <c r="J522">
        <v>512</v>
      </c>
      <c r="K522" s="4">
        <f t="shared" si="48"/>
        <v>0</v>
      </c>
      <c r="L522" s="4">
        <f t="shared" si="49"/>
        <v>0</v>
      </c>
      <c r="M522" s="4">
        <f t="shared" si="50"/>
        <v>0</v>
      </c>
      <c r="N522" s="4">
        <f t="shared" si="51"/>
        <v>0</v>
      </c>
      <c r="O522" s="4">
        <f t="shared" si="52"/>
        <v>0</v>
      </c>
    </row>
    <row r="523" spans="2:15" x14ac:dyDescent="0.3">
      <c r="B523">
        <v>514</v>
      </c>
      <c r="C523" s="6"/>
      <c r="D523" s="6"/>
      <c r="E523" s="6"/>
      <c r="F523" s="6"/>
      <c r="G523" s="6"/>
      <c r="H523" s="23">
        <f t="shared" si="53"/>
        <v>500000</v>
      </c>
      <c r="J523">
        <v>513</v>
      </c>
      <c r="K523" s="4">
        <f t="shared" si="48"/>
        <v>0</v>
      </c>
      <c r="L523" s="4">
        <f t="shared" si="49"/>
        <v>0</v>
      </c>
      <c r="M523" s="4">
        <f t="shared" si="50"/>
        <v>0</v>
      </c>
      <c r="N523" s="4">
        <f t="shared" si="51"/>
        <v>0</v>
      </c>
      <c r="O523" s="4">
        <f t="shared" si="52"/>
        <v>0</v>
      </c>
    </row>
    <row r="524" spans="2:15" x14ac:dyDescent="0.3">
      <c r="B524">
        <v>515</v>
      </c>
      <c r="C524" s="6"/>
      <c r="D524" s="6"/>
      <c r="E524" s="6"/>
      <c r="F524" s="6"/>
      <c r="G524" s="6"/>
      <c r="H524" s="23">
        <f t="shared" si="53"/>
        <v>500000</v>
      </c>
      <c r="J524">
        <v>514</v>
      </c>
      <c r="K524" s="4">
        <f t="shared" ref="K524:K587" si="54">IF(J524&gt;($M$3+$F$3),L524+M524,$C$5)</f>
        <v>0</v>
      </c>
      <c r="L524" s="4">
        <f t="shared" ref="L524:L587" si="55">O523*$C$3</f>
        <v>0</v>
      </c>
      <c r="M524" s="4">
        <f t="shared" ref="M524:M587" si="56">IF(J524&lt;($M$3+$F$3),K524-L524,O523)</f>
        <v>0</v>
      </c>
      <c r="N524" s="4">
        <f t="shared" ref="N524:N587" si="57">IF(B523=$F$3,$F$2,0)</f>
        <v>0</v>
      </c>
      <c r="O524" s="4">
        <f t="shared" ref="O524:O587" si="58">O523-M524-N524</f>
        <v>0</v>
      </c>
    </row>
    <row r="525" spans="2:15" x14ac:dyDescent="0.3">
      <c r="B525">
        <v>516</v>
      </c>
      <c r="C525" s="6"/>
      <c r="D525" s="6"/>
      <c r="E525" s="6"/>
      <c r="F525" s="6"/>
      <c r="G525" s="6"/>
      <c r="H525" s="23">
        <f t="shared" si="53"/>
        <v>500000</v>
      </c>
      <c r="J525">
        <v>515</v>
      </c>
      <c r="K525" s="4">
        <f t="shared" si="54"/>
        <v>0</v>
      </c>
      <c r="L525" s="4">
        <f t="shared" si="55"/>
        <v>0</v>
      </c>
      <c r="M525" s="4">
        <f t="shared" si="56"/>
        <v>0</v>
      </c>
      <c r="N525" s="4">
        <f t="shared" si="57"/>
        <v>0</v>
      </c>
      <c r="O525" s="4">
        <f t="shared" si="58"/>
        <v>0</v>
      </c>
    </row>
    <row r="526" spans="2:15" x14ac:dyDescent="0.3">
      <c r="B526">
        <v>517</v>
      </c>
      <c r="C526" s="6"/>
      <c r="D526" s="6"/>
      <c r="E526" s="6"/>
      <c r="F526" s="6"/>
      <c r="G526" s="6"/>
      <c r="H526" s="23">
        <f t="shared" si="53"/>
        <v>500000</v>
      </c>
      <c r="J526">
        <v>516</v>
      </c>
      <c r="K526" s="4">
        <f t="shared" si="54"/>
        <v>0</v>
      </c>
      <c r="L526" s="4">
        <f t="shared" si="55"/>
        <v>0</v>
      </c>
      <c r="M526" s="4">
        <f t="shared" si="56"/>
        <v>0</v>
      </c>
      <c r="N526" s="4">
        <f t="shared" si="57"/>
        <v>0</v>
      </c>
      <c r="O526" s="4">
        <f t="shared" si="58"/>
        <v>0</v>
      </c>
    </row>
    <row r="527" spans="2:15" x14ac:dyDescent="0.3">
      <c r="B527">
        <v>518</v>
      </c>
      <c r="C527" s="6"/>
      <c r="D527" s="6"/>
      <c r="E527" s="6"/>
      <c r="F527" s="6"/>
      <c r="G527" s="6"/>
      <c r="H527" s="23">
        <f t="shared" si="53"/>
        <v>500000</v>
      </c>
      <c r="J527">
        <v>517</v>
      </c>
      <c r="K527" s="4">
        <f t="shared" si="54"/>
        <v>0</v>
      </c>
      <c r="L527" s="4">
        <f t="shared" si="55"/>
        <v>0</v>
      </c>
      <c r="M527" s="4">
        <f t="shared" si="56"/>
        <v>0</v>
      </c>
      <c r="N527" s="4">
        <f t="shared" si="57"/>
        <v>0</v>
      </c>
      <c r="O527" s="4">
        <f t="shared" si="58"/>
        <v>0</v>
      </c>
    </row>
    <row r="528" spans="2:15" x14ac:dyDescent="0.3">
      <c r="B528">
        <v>519</v>
      </c>
      <c r="C528" s="6"/>
      <c r="D528" s="6"/>
      <c r="E528" s="6"/>
      <c r="F528" s="6"/>
      <c r="G528" s="6"/>
      <c r="H528" s="23">
        <f t="shared" si="53"/>
        <v>500000</v>
      </c>
      <c r="J528">
        <v>518</v>
      </c>
      <c r="K528" s="4">
        <f t="shared" si="54"/>
        <v>0</v>
      </c>
      <c r="L528" s="4">
        <f t="shared" si="55"/>
        <v>0</v>
      </c>
      <c r="M528" s="4">
        <f t="shared" si="56"/>
        <v>0</v>
      </c>
      <c r="N528" s="4">
        <f t="shared" si="57"/>
        <v>0</v>
      </c>
      <c r="O528" s="4">
        <f t="shared" si="58"/>
        <v>0</v>
      </c>
    </row>
    <row r="529" spans="2:15" x14ac:dyDescent="0.3">
      <c r="B529">
        <v>520</v>
      </c>
      <c r="C529" s="6"/>
      <c r="D529" s="6"/>
      <c r="E529" s="6"/>
      <c r="F529" s="6"/>
      <c r="G529" s="6"/>
      <c r="H529" s="23">
        <f t="shared" si="53"/>
        <v>500000</v>
      </c>
      <c r="J529">
        <v>519</v>
      </c>
      <c r="K529" s="4">
        <f t="shared" si="54"/>
        <v>0</v>
      </c>
      <c r="L529" s="4">
        <f t="shared" si="55"/>
        <v>0</v>
      </c>
      <c r="M529" s="4">
        <f t="shared" si="56"/>
        <v>0</v>
      </c>
      <c r="N529" s="4">
        <f t="shared" si="57"/>
        <v>0</v>
      </c>
      <c r="O529" s="4">
        <f t="shared" si="58"/>
        <v>0</v>
      </c>
    </row>
    <row r="530" spans="2:15" x14ac:dyDescent="0.3">
      <c r="B530">
        <v>521</v>
      </c>
      <c r="C530" s="6"/>
      <c r="D530" s="6"/>
      <c r="E530" s="6"/>
      <c r="F530" s="6"/>
      <c r="G530" s="6"/>
      <c r="H530" s="23">
        <f t="shared" si="53"/>
        <v>500000</v>
      </c>
      <c r="J530">
        <v>520</v>
      </c>
      <c r="K530" s="4">
        <f t="shared" si="54"/>
        <v>0</v>
      </c>
      <c r="L530" s="4">
        <f t="shared" si="55"/>
        <v>0</v>
      </c>
      <c r="M530" s="4">
        <f t="shared" si="56"/>
        <v>0</v>
      </c>
      <c r="N530" s="4">
        <f t="shared" si="57"/>
        <v>0</v>
      </c>
      <c r="O530" s="4">
        <f t="shared" si="58"/>
        <v>0</v>
      </c>
    </row>
    <row r="531" spans="2:15" x14ac:dyDescent="0.3">
      <c r="B531">
        <v>522</v>
      </c>
      <c r="C531" s="6"/>
      <c r="D531" s="6"/>
      <c r="E531" s="6"/>
      <c r="F531" s="6"/>
      <c r="G531" s="6"/>
      <c r="H531" s="23">
        <f t="shared" si="53"/>
        <v>500000</v>
      </c>
      <c r="J531">
        <v>521</v>
      </c>
      <c r="K531" s="4">
        <f t="shared" si="54"/>
        <v>0</v>
      </c>
      <c r="L531" s="4">
        <f t="shared" si="55"/>
        <v>0</v>
      </c>
      <c r="M531" s="4">
        <f t="shared" si="56"/>
        <v>0</v>
      </c>
      <c r="N531" s="4">
        <f t="shared" si="57"/>
        <v>0</v>
      </c>
      <c r="O531" s="4">
        <f t="shared" si="58"/>
        <v>0</v>
      </c>
    </row>
    <row r="532" spans="2:15" x14ac:dyDescent="0.3">
      <c r="B532">
        <v>523</v>
      </c>
      <c r="C532" s="6"/>
      <c r="D532" s="6"/>
      <c r="E532" s="6"/>
      <c r="F532" s="6"/>
      <c r="G532" s="6"/>
      <c r="H532" s="23">
        <f t="shared" si="53"/>
        <v>500000</v>
      </c>
      <c r="J532">
        <v>522</v>
      </c>
      <c r="K532" s="4">
        <f t="shared" si="54"/>
        <v>0</v>
      </c>
      <c r="L532" s="4">
        <f t="shared" si="55"/>
        <v>0</v>
      </c>
      <c r="M532" s="4">
        <f t="shared" si="56"/>
        <v>0</v>
      </c>
      <c r="N532" s="4">
        <f t="shared" si="57"/>
        <v>0</v>
      </c>
      <c r="O532" s="4">
        <f t="shared" si="58"/>
        <v>0</v>
      </c>
    </row>
    <row r="533" spans="2:15" x14ac:dyDescent="0.3">
      <c r="B533">
        <v>524</v>
      </c>
      <c r="C533" s="6"/>
      <c r="D533" s="6"/>
      <c r="E533" s="6"/>
      <c r="F533" s="6"/>
      <c r="G533" s="6"/>
      <c r="H533" s="23">
        <f t="shared" si="53"/>
        <v>500000</v>
      </c>
      <c r="J533">
        <v>523</v>
      </c>
      <c r="K533" s="4">
        <f t="shared" si="54"/>
        <v>0</v>
      </c>
      <c r="L533" s="4">
        <f t="shared" si="55"/>
        <v>0</v>
      </c>
      <c r="M533" s="4">
        <f t="shared" si="56"/>
        <v>0</v>
      </c>
      <c r="N533" s="4">
        <f t="shared" si="57"/>
        <v>0</v>
      </c>
      <c r="O533" s="4">
        <f t="shared" si="58"/>
        <v>0</v>
      </c>
    </row>
    <row r="534" spans="2:15" x14ac:dyDescent="0.3">
      <c r="B534">
        <v>525</v>
      </c>
      <c r="C534" s="6"/>
      <c r="D534" s="6"/>
      <c r="E534" s="6"/>
      <c r="F534" s="6"/>
      <c r="G534" s="6"/>
      <c r="H534" s="23">
        <f t="shared" si="53"/>
        <v>500000</v>
      </c>
      <c r="J534">
        <v>524</v>
      </c>
      <c r="K534" s="4">
        <f t="shared" si="54"/>
        <v>0</v>
      </c>
      <c r="L534" s="4">
        <f t="shared" si="55"/>
        <v>0</v>
      </c>
      <c r="M534" s="4">
        <f t="shared" si="56"/>
        <v>0</v>
      </c>
      <c r="N534" s="4">
        <f t="shared" si="57"/>
        <v>0</v>
      </c>
      <c r="O534" s="4">
        <f t="shared" si="58"/>
        <v>0</v>
      </c>
    </row>
    <row r="535" spans="2:15" x14ac:dyDescent="0.3">
      <c r="B535">
        <v>526</v>
      </c>
      <c r="C535" s="6"/>
      <c r="D535" s="6"/>
      <c r="E535" s="6"/>
      <c r="F535" s="6"/>
      <c r="G535" s="6"/>
      <c r="H535" s="23">
        <f t="shared" si="53"/>
        <v>500000</v>
      </c>
      <c r="J535">
        <v>525</v>
      </c>
      <c r="K535" s="4">
        <f t="shared" si="54"/>
        <v>0</v>
      </c>
      <c r="L535" s="4">
        <f t="shared" si="55"/>
        <v>0</v>
      </c>
      <c r="M535" s="4">
        <f t="shared" si="56"/>
        <v>0</v>
      </c>
      <c r="N535" s="4">
        <f t="shared" si="57"/>
        <v>0</v>
      </c>
      <c r="O535" s="4">
        <f t="shared" si="58"/>
        <v>0</v>
      </c>
    </row>
    <row r="536" spans="2:15" x14ac:dyDescent="0.3">
      <c r="B536">
        <v>527</v>
      </c>
      <c r="C536" s="6"/>
      <c r="D536" s="6"/>
      <c r="E536" s="6"/>
      <c r="F536" s="6"/>
      <c r="G536" s="6"/>
      <c r="H536" s="23">
        <f t="shared" si="53"/>
        <v>500000</v>
      </c>
      <c r="J536">
        <v>526</v>
      </c>
      <c r="K536" s="4">
        <f t="shared" si="54"/>
        <v>0</v>
      </c>
      <c r="L536" s="4">
        <f t="shared" si="55"/>
        <v>0</v>
      </c>
      <c r="M536" s="4">
        <f t="shared" si="56"/>
        <v>0</v>
      </c>
      <c r="N536" s="4">
        <f t="shared" si="57"/>
        <v>0</v>
      </c>
      <c r="O536" s="4">
        <f t="shared" si="58"/>
        <v>0</v>
      </c>
    </row>
    <row r="537" spans="2:15" x14ac:dyDescent="0.3">
      <c r="B537">
        <v>528</v>
      </c>
      <c r="C537" s="6"/>
      <c r="D537" s="6"/>
      <c r="E537" s="6"/>
      <c r="F537" s="6"/>
      <c r="G537" s="6"/>
      <c r="H537" s="23">
        <f t="shared" si="53"/>
        <v>500000</v>
      </c>
      <c r="J537">
        <v>527</v>
      </c>
      <c r="K537" s="4">
        <f t="shared" si="54"/>
        <v>0</v>
      </c>
      <c r="L537" s="4">
        <f t="shared" si="55"/>
        <v>0</v>
      </c>
      <c r="M537" s="4">
        <f t="shared" si="56"/>
        <v>0</v>
      </c>
      <c r="N537" s="4">
        <f t="shared" si="57"/>
        <v>0</v>
      </c>
      <c r="O537" s="4">
        <f t="shared" si="58"/>
        <v>0</v>
      </c>
    </row>
    <row r="538" spans="2:15" x14ac:dyDescent="0.3">
      <c r="B538">
        <v>529</v>
      </c>
      <c r="C538" s="6"/>
      <c r="D538" s="6"/>
      <c r="E538" s="6"/>
      <c r="F538" s="6"/>
      <c r="G538" s="6"/>
      <c r="H538" s="23">
        <f t="shared" si="53"/>
        <v>500000</v>
      </c>
      <c r="J538">
        <v>528</v>
      </c>
      <c r="K538" s="4">
        <f t="shared" si="54"/>
        <v>0</v>
      </c>
      <c r="L538" s="4">
        <f t="shared" si="55"/>
        <v>0</v>
      </c>
      <c r="M538" s="4">
        <f t="shared" si="56"/>
        <v>0</v>
      </c>
      <c r="N538" s="4">
        <f t="shared" si="57"/>
        <v>0</v>
      </c>
      <c r="O538" s="4">
        <f t="shared" si="58"/>
        <v>0</v>
      </c>
    </row>
    <row r="539" spans="2:15" x14ac:dyDescent="0.3">
      <c r="B539">
        <v>530</v>
      </c>
      <c r="C539" s="6"/>
      <c r="D539" s="6"/>
      <c r="E539" s="6"/>
      <c r="F539" s="6"/>
      <c r="G539" s="6"/>
      <c r="H539" s="23">
        <f t="shared" si="53"/>
        <v>500000</v>
      </c>
      <c r="J539">
        <v>529</v>
      </c>
      <c r="K539" s="4">
        <f t="shared" si="54"/>
        <v>0</v>
      </c>
      <c r="L539" s="4">
        <f t="shared" si="55"/>
        <v>0</v>
      </c>
      <c r="M539" s="4">
        <f t="shared" si="56"/>
        <v>0</v>
      </c>
      <c r="N539" s="4">
        <f t="shared" si="57"/>
        <v>0</v>
      </c>
      <c r="O539" s="4">
        <f t="shared" si="58"/>
        <v>0</v>
      </c>
    </row>
    <row r="540" spans="2:15" x14ac:dyDescent="0.3">
      <c r="B540">
        <v>531</v>
      </c>
      <c r="C540" s="6"/>
      <c r="D540" s="6"/>
      <c r="E540" s="6"/>
      <c r="F540" s="6"/>
      <c r="G540" s="6"/>
      <c r="H540" s="23">
        <f t="shared" si="53"/>
        <v>500000</v>
      </c>
      <c r="J540">
        <v>530</v>
      </c>
      <c r="K540" s="4">
        <f t="shared" si="54"/>
        <v>0</v>
      </c>
      <c r="L540" s="4">
        <f t="shared" si="55"/>
        <v>0</v>
      </c>
      <c r="M540" s="4">
        <f t="shared" si="56"/>
        <v>0</v>
      </c>
      <c r="N540" s="4">
        <f t="shared" si="57"/>
        <v>0</v>
      </c>
      <c r="O540" s="4">
        <f t="shared" si="58"/>
        <v>0</v>
      </c>
    </row>
    <row r="541" spans="2:15" x14ac:dyDescent="0.3">
      <c r="B541">
        <v>532</v>
      </c>
      <c r="C541" s="6"/>
      <c r="D541" s="6"/>
      <c r="E541" s="6"/>
      <c r="F541" s="6"/>
      <c r="G541" s="6"/>
      <c r="H541" s="23">
        <f t="shared" si="53"/>
        <v>500000</v>
      </c>
      <c r="J541">
        <v>531</v>
      </c>
      <c r="K541" s="4">
        <f t="shared" si="54"/>
        <v>0</v>
      </c>
      <c r="L541" s="4">
        <f t="shared" si="55"/>
        <v>0</v>
      </c>
      <c r="M541" s="4">
        <f t="shared" si="56"/>
        <v>0</v>
      </c>
      <c r="N541" s="4">
        <f t="shared" si="57"/>
        <v>0</v>
      </c>
      <c r="O541" s="4">
        <f t="shared" si="58"/>
        <v>0</v>
      </c>
    </row>
    <row r="542" spans="2:15" x14ac:dyDescent="0.3">
      <c r="B542">
        <v>533</v>
      </c>
      <c r="C542" s="6"/>
      <c r="D542" s="6"/>
      <c r="E542" s="6"/>
      <c r="F542" s="6"/>
      <c r="G542" s="6"/>
      <c r="H542" s="23">
        <f t="shared" si="53"/>
        <v>500000</v>
      </c>
      <c r="J542">
        <v>532</v>
      </c>
      <c r="K542" s="4">
        <f t="shared" si="54"/>
        <v>0</v>
      </c>
      <c r="L542" s="4">
        <f t="shared" si="55"/>
        <v>0</v>
      </c>
      <c r="M542" s="4">
        <f t="shared" si="56"/>
        <v>0</v>
      </c>
      <c r="N542" s="4">
        <f t="shared" si="57"/>
        <v>0</v>
      </c>
      <c r="O542" s="4">
        <f t="shared" si="58"/>
        <v>0</v>
      </c>
    </row>
    <row r="543" spans="2:15" x14ac:dyDescent="0.3">
      <c r="B543">
        <v>534</v>
      </c>
      <c r="C543" s="6"/>
      <c r="D543" s="6"/>
      <c r="E543" s="6"/>
      <c r="F543" s="6"/>
      <c r="G543" s="6"/>
      <c r="H543" s="23">
        <f t="shared" si="53"/>
        <v>500000</v>
      </c>
      <c r="J543">
        <v>533</v>
      </c>
      <c r="K543" s="4">
        <f t="shared" si="54"/>
        <v>0</v>
      </c>
      <c r="L543" s="4">
        <f t="shared" si="55"/>
        <v>0</v>
      </c>
      <c r="M543" s="4">
        <f t="shared" si="56"/>
        <v>0</v>
      </c>
      <c r="N543" s="4">
        <f t="shared" si="57"/>
        <v>0</v>
      </c>
      <c r="O543" s="4">
        <f t="shared" si="58"/>
        <v>0</v>
      </c>
    </row>
    <row r="544" spans="2:15" x14ac:dyDescent="0.3">
      <c r="B544">
        <v>535</v>
      </c>
      <c r="C544" s="6"/>
      <c r="D544" s="6"/>
      <c r="E544" s="6"/>
      <c r="F544" s="6"/>
      <c r="G544" s="6"/>
      <c r="H544" s="23">
        <f t="shared" si="53"/>
        <v>500000</v>
      </c>
      <c r="J544">
        <v>534</v>
      </c>
      <c r="K544" s="4">
        <f t="shared" si="54"/>
        <v>0</v>
      </c>
      <c r="L544" s="4">
        <f t="shared" si="55"/>
        <v>0</v>
      </c>
      <c r="M544" s="4">
        <f t="shared" si="56"/>
        <v>0</v>
      </c>
      <c r="N544" s="4">
        <f t="shared" si="57"/>
        <v>0</v>
      </c>
      <c r="O544" s="4">
        <f t="shared" si="58"/>
        <v>0</v>
      </c>
    </row>
    <row r="545" spans="2:15" x14ac:dyDescent="0.3">
      <c r="B545">
        <v>536</v>
      </c>
      <c r="C545" s="6"/>
      <c r="D545" s="6"/>
      <c r="E545" s="6"/>
      <c r="F545" s="6"/>
      <c r="G545" s="6"/>
      <c r="H545" s="23">
        <f t="shared" si="53"/>
        <v>500000</v>
      </c>
      <c r="J545">
        <v>535</v>
      </c>
      <c r="K545" s="4">
        <f t="shared" si="54"/>
        <v>0</v>
      </c>
      <c r="L545" s="4">
        <f t="shared" si="55"/>
        <v>0</v>
      </c>
      <c r="M545" s="4">
        <f t="shared" si="56"/>
        <v>0</v>
      </c>
      <c r="N545" s="4">
        <f t="shared" si="57"/>
        <v>0</v>
      </c>
      <c r="O545" s="4">
        <f t="shared" si="58"/>
        <v>0</v>
      </c>
    </row>
    <row r="546" spans="2:15" x14ac:dyDescent="0.3">
      <c r="B546">
        <v>537</v>
      </c>
      <c r="C546" s="6"/>
      <c r="D546" s="6"/>
      <c r="E546" s="6"/>
      <c r="F546" s="6"/>
      <c r="G546" s="6"/>
      <c r="H546" s="23">
        <f t="shared" si="53"/>
        <v>500000</v>
      </c>
      <c r="J546">
        <v>536</v>
      </c>
      <c r="K546" s="4">
        <f t="shared" si="54"/>
        <v>0</v>
      </c>
      <c r="L546" s="4">
        <f t="shared" si="55"/>
        <v>0</v>
      </c>
      <c r="M546" s="4">
        <f t="shared" si="56"/>
        <v>0</v>
      </c>
      <c r="N546" s="4">
        <f t="shared" si="57"/>
        <v>0</v>
      </c>
      <c r="O546" s="4">
        <f t="shared" si="58"/>
        <v>0</v>
      </c>
    </row>
    <row r="547" spans="2:15" x14ac:dyDescent="0.3">
      <c r="B547">
        <v>538</v>
      </c>
      <c r="C547" s="6"/>
      <c r="D547" s="6"/>
      <c r="E547" s="6"/>
      <c r="F547" s="6"/>
      <c r="G547" s="6"/>
      <c r="H547" s="23">
        <f t="shared" si="53"/>
        <v>500000</v>
      </c>
      <c r="J547">
        <v>537</v>
      </c>
      <c r="K547" s="4">
        <f t="shared" si="54"/>
        <v>0</v>
      </c>
      <c r="L547" s="4">
        <f t="shared" si="55"/>
        <v>0</v>
      </c>
      <c r="M547" s="4">
        <f t="shared" si="56"/>
        <v>0</v>
      </c>
      <c r="N547" s="4">
        <f t="shared" si="57"/>
        <v>0</v>
      </c>
      <c r="O547" s="4">
        <f t="shared" si="58"/>
        <v>0</v>
      </c>
    </row>
    <row r="548" spans="2:15" x14ac:dyDescent="0.3">
      <c r="B548">
        <v>539</v>
      </c>
      <c r="C548" s="6"/>
      <c r="D548" s="6"/>
      <c r="E548" s="6"/>
      <c r="F548" s="6"/>
      <c r="G548" s="6"/>
      <c r="H548" s="23">
        <f t="shared" si="53"/>
        <v>500000</v>
      </c>
      <c r="J548">
        <v>538</v>
      </c>
      <c r="K548" s="4">
        <f t="shared" si="54"/>
        <v>0</v>
      </c>
      <c r="L548" s="4">
        <f t="shared" si="55"/>
        <v>0</v>
      </c>
      <c r="M548" s="4">
        <f t="shared" si="56"/>
        <v>0</v>
      </c>
      <c r="N548" s="4">
        <f t="shared" si="57"/>
        <v>0</v>
      </c>
      <c r="O548" s="4">
        <f t="shared" si="58"/>
        <v>0</v>
      </c>
    </row>
    <row r="549" spans="2:15" x14ac:dyDescent="0.3">
      <c r="B549">
        <v>540</v>
      </c>
      <c r="C549" s="6"/>
      <c r="D549" s="6"/>
      <c r="E549" s="6"/>
      <c r="F549" s="6"/>
      <c r="G549" s="6"/>
      <c r="H549" s="23">
        <f t="shared" si="53"/>
        <v>500000</v>
      </c>
      <c r="J549">
        <v>539</v>
      </c>
      <c r="K549" s="4">
        <f t="shared" si="54"/>
        <v>0</v>
      </c>
      <c r="L549" s="4">
        <f t="shared" si="55"/>
        <v>0</v>
      </c>
      <c r="M549" s="4">
        <f t="shared" si="56"/>
        <v>0</v>
      </c>
      <c r="N549" s="4">
        <f t="shared" si="57"/>
        <v>0</v>
      </c>
      <c r="O549" s="4">
        <f t="shared" si="58"/>
        <v>0</v>
      </c>
    </row>
    <row r="550" spans="2:15" x14ac:dyDescent="0.3">
      <c r="B550">
        <v>541</v>
      </c>
      <c r="C550" s="6"/>
      <c r="D550" s="6"/>
      <c r="E550" s="6"/>
      <c r="F550" s="6"/>
      <c r="G550" s="6"/>
      <c r="H550" s="23">
        <f t="shared" si="53"/>
        <v>500000</v>
      </c>
      <c r="J550">
        <v>540</v>
      </c>
      <c r="K550" s="4">
        <f t="shared" si="54"/>
        <v>0</v>
      </c>
      <c r="L550" s="4">
        <f t="shared" si="55"/>
        <v>0</v>
      </c>
      <c r="M550" s="4">
        <f t="shared" si="56"/>
        <v>0</v>
      </c>
      <c r="N550" s="4">
        <f t="shared" si="57"/>
        <v>0</v>
      </c>
      <c r="O550" s="4">
        <f t="shared" si="58"/>
        <v>0</v>
      </c>
    </row>
    <row r="551" spans="2:15" x14ac:dyDescent="0.3">
      <c r="B551">
        <v>542</v>
      </c>
      <c r="C551" s="6"/>
      <c r="D551" s="6"/>
      <c r="E551" s="6"/>
      <c r="F551" s="6"/>
      <c r="G551" s="6"/>
      <c r="H551" s="23">
        <f t="shared" si="53"/>
        <v>500000</v>
      </c>
      <c r="J551">
        <v>541</v>
      </c>
      <c r="K551" s="4">
        <f t="shared" si="54"/>
        <v>0</v>
      </c>
      <c r="L551" s="4">
        <f t="shared" si="55"/>
        <v>0</v>
      </c>
      <c r="M551" s="4">
        <f t="shared" si="56"/>
        <v>0</v>
      </c>
      <c r="N551" s="4">
        <f t="shared" si="57"/>
        <v>0</v>
      </c>
      <c r="O551" s="4">
        <f t="shared" si="58"/>
        <v>0</v>
      </c>
    </row>
    <row r="552" spans="2:15" x14ac:dyDescent="0.3">
      <c r="B552">
        <v>543</v>
      </c>
      <c r="C552" s="6"/>
      <c r="D552" s="6"/>
      <c r="E552" s="6"/>
      <c r="F552" s="6"/>
      <c r="G552" s="6"/>
      <c r="H552" s="23">
        <f t="shared" si="53"/>
        <v>500000</v>
      </c>
      <c r="J552">
        <v>542</v>
      </c>
      <c r="K552" s="4">
        <f t="shared" si="54"/>
        <v>0</v>
      </c>
      <c r="L552" s="4">
        <f t="shared" si="55"/>
        <v>0</v>
      </c>
      <c r="M552" s="4">
        <f t="shared" si="56"/>
        <v>0</v>
      </c>
      <c r="N552" s="4">
        <f t="shared" si="57"/>
        <v>0</v>
      </c>
      <c r="O552" s="4">
        <f t="shared" si="58"/>
        <v>0</v>
      </c>
    </row>
    <row r="553" spans="2:15" x14ac:dyDescent="0.3">
      <c r="B553">
        <v>544</v>
      </c>
      <c r="C553" s="6"/>
      <c r="D553" s="6"/>
      <c r="E553" s="6"/>
      <c r="F553" s="6"/>
      <c r="G553" s="6"/>
      <c r="H553" s="23">
        <f t="shared" si="53"/>
        <v>500000</v>
      </c>
      <c r="J553">
        <v>543</v>
      </c>
      <c r="K553" s="4">
        <f t="shared" si="54"/>
        <v>0</v>
      </c>
      <c r="L553" s="4">
        <f t="shared" si="55"/>
        <v>0</v>
      </c>
      <c r="M553" s="4">
        <f t="shared" si="56"/>
        <v>0</v>
      </c>
      <c r="N553" s="4">
        <f t="shared" si="57"/>
        <v>0</v>
      </c>
      <c r="O553" s="4">
        <f t="shared" si="58"/>
        <v>0</v>
      </c>
    </row>
    <row r="554" spans="2:15" x14ac:dyDescent="0.3">
      <c r="B554">
        <v>545</v>
      </c>
      <c r="C554" s="6"/>
      <c r="D554" s="6"/>
      <c r="E554" s="6"/>
      <c r="F554" s="6"/>
      <c r="G554" s="6"/>
      <c r="H554" s="23">
        <f t="shared" si="53"/>
        <v>500000</v>
      </c>
      <c r="J554">
        <v>544</v>
      </c>
      <c r="K554" s="4">
        <f t="shared" si="54"/>
        <v>0</v>
      </c>
      <c r="L554" s="4">
        <f t="shared" si="55"/>
        <v>0</v>
      </c>
      <c r="M554" s="4">
        <f t="shared" si="56"/>
        <v>0</v>
      </c>
      <c r="N554" s="4">
        <f t="shared" si="57"/>
        <v>0</v>
      </c>
      <c r="O554" s="4">
        <f t="shared" si="58"/>
        <v>0</v>
      </c>
    </row>
    <row r="555" spans="2:15" x14ac:dyDescent="0.3">
      <c r="B555">
        <v>546</v>
      </c>
      <c r="C555" s="6"/>
      <c r="D555" s="6"/>
      <c r="E555" s="6"/>
      <c r="F555" s="6"/>
      <c r="G555" s="6"/>
      <c r="H555" s="23">
        <f t="shared" si="53"/>
        <v>500000</v>
      </c>
      <c r="J555">
        <v>545</v>
      </c>
      <c r="K555" s="4">
        <f t="shared" si="54"/>
        <v>0</v>
      </c>
      <c r="L555" s="4">
        <f t="shared" si="55"/>
        <v>0</v>
      </c>
      <c r="M555" s="4">
        <f t="shared" si="56"/>
        <v>0</v>
      </c>
      <c r="N555" s="4">
        <f t="shared" si="57"/>
        <v>0</v>
      </c>
      <c r="O555" s="4">
        <f t="shared" si="58"/>
        <v>0</v>
      </c>
    </row>
    <row r="556" spans="2:15" x14ac:dyDescent="0.3">
      <c r="B556">
        <v>547</v>
      </c>
      <c r="C556" s="6"/>
      <c r="D556" s="6"/>
      <c r="E556" s="6"/>
      <c r="F556" s="6"/>
      <c r="G556" s="6"/>
      <c r="H556" s="23">
        <f t="shared" si="53"/>
        <v>500000</v>
      </c>
      <c r="J556">
        <v>546</v>
      </c>
      <c r="K556" s="4">
        <f t="shared" si="54"/>
        <v>0</v>
      </c>
      <c r="L556" s="4">
        <f t="shared" si="55"/>
        <v>0</v>
      </c>
      <c r="M556" s="4">
        <f t="shared" si="56"/>
        <v>0</v>
      </c>
      <c r="N556" s="4">
        <f t="shared" si="57"/>
        <v>0</v>
      </c>
      <c r="O556" s="4">
        <f t="shared" si="58"/>
        <v>0</v>
      </c>
    </row>
    <row r="557" spans="2:15" x14ac:dyDescent="0.3">
      <c r="B557">
        <v>548</v>
      </c>
      <c r="C557" s="6"/>
      <c r="D557" s="6"/>
      <c r="E557" s="6"/>
      <c r="F557" s="6"/>
      <c r="G557" s="6"/>
      <c r="H557" s="23">
        <f t="shared" si="53"/>
        <v>500000</v>
      </c>
      <c r="J557">
        <v>547</v>
      </c>
      <c r="K557" s="4">
        <f t="shared" si="54"/>
        <v>0</v>
      </c>
      <c r="L557" s="4">
        <f t="shared" si="55"/>
        <v>0</v>
      </c>
      <c r="M557" s="4">
        <f t="shared" si="56"/>
        <v>0</v>
      </c>
      <c r="N557" s="4">
        <f t="shared" si="57"/>
        <v>0</v>
      </c>
      <c r="O557" s="4">
        <f t="shared" si="58"/>
        <v>0</v>
      </c>
    </row>
    <row r="558" spans="2:15" x14ac:dyDescent="0.3">
      <c r="B558">
        <v>549</v>
      </c>
      <c r="C558" s="6"/>
      <c r="D558" s="6"/>
      <c r="E558" s="6"/>
      <c r="F558" s="6"/>
      <c r="G558" s="6"/>
      <c r="H558" s="23">
        <f t="shared" si="53"/>
        <v>500000</v>
      </c>
      <c r="J558">
        <v>548</v>
      </c>
      <c r="K558" s="4">
        <f t="shared" si="54"/>
        <v>0</v>
      </c>
      <c r="L558" s="4">
        <f t="shared" si="55"/>
        <v>0</v>
      </c>
      <c r="M558" s="4">
        <f t="shared" si="56"/>
        <v>0</v>
      </c>
      <c r="N558" s="4">
        <f t="shared" si="57"/>
        <v>0</v>
      </c>
      <c r="O558" s="4">
        <f t="shared" si="58"/>
        <v>0</v>
      </c>
    </row>
    <row r="559" spans="2:15" x14ac:dyDescent="0.3">
      <c r="B559">
        <v>550</v>
      </c>
      <c r="C559" s="6"/>
      <c r="D559" s="6"/>
      <c r="E559" s="6"/>
      <c r="F559" s="6"/>
      <c r="G559" s="6"/>
      <c r="H559" s="23">
        <f t="shared" si="53"/>
        <v>500000</v>
      </c>
      <c r="J559">
        <v>549</v>
      </c>
      <c r="K559" s="4">
        <f t="shared" si="54"/>
        <v>0</v>
      </c>
      <c r="L559" s="4">
        <f t="shared" si="55"/>
        <v>0</v>
      </c>
      <c r="M559" s="4">
        <f t="shared" si="56"/>
        <v>0</v>
      </c>
      <c r="N559" s="4">
        <f t="shared" si="57"/>
        <v>0</v>
      </c>
      <c r="O559" s="4">
        <f t="shared" si="58"/>
        <v>0</v>
      </c>
    </row>
    <row r="560" spans="2:15" x14ac:dyDescent="0.3">
      <c r="B560">
        <v>551</v>
      </c>
      <c r="C560" s="6"/>
      <c r="D560" s="6"/>
      <c r="E560" s="6"/>
      <c r="F560" s="6"/>
      <c r="G560" s="6"/>
      <c r="H560" s="23">
        <f t="shared" si="53"/>
        <v>500000</v>
      </c>
      <c r="J560">
        <v>550</v>
      </c>
      <c r="K560" s="4">
        <f t="shared" si="54"/>
        <v>0</v>
      </c>
      <c r="L560" s="4">
        <f t="shared" si="55"/>
        <v>0</v>
      </c>
      <c r="M560" s="4">
        <f t="shared" si="56"/>
        <v>0</v>
      </c>
      <c r="N560" s="4">
        <f t="shared" si="57"/>
        <v>0</v>
      </c>
      <c r="O560" s="4">
        <f t="shared" si="58"/>
        <v>0</v>
      </c>
    </row>
    <row r="561" spans="2:15" x14ac:dyDescent="0.3">
      <c r="B561">
        <v>552</v>
      </c>
      <c r="C561" s="6"/>
      <c r="D561" s="6"/>
      <c r="E561" s="6"/>
      <c r="F561" s="6"/>
      <c r="G561" s="6"/>
      <c r="H561" s="23">
        <f t="shared" si="53"/>
        <v>500000</v>
      </c>
      <c r="J561">
        <v>551</v>
      </c>
      <c r="K561" s="4">
        <f t="shared" si="54"/>
        <v>0</v>
      </c>
      <c r="L561" s="4">
        <f t="shared" si="55"/>
        <v>0</v>
      </c>
      <c r="M561" s="4">
        <f t="shared" si="56"/>
        <v>0</v>
      </c>
      <c r="N561" s="4">
        <f t="shared" si="57"/>
        <v>0</v>
      </c>
      <c r="O561" s="4">
        <f t="shared" si="58"/>
        <v>0</v>
      </c>
    </row>
    <row r="562" spans="2:15" x14ac:dyDescent="0.3">
      <c r="B562">
        <v>553</v>
      </c>
      <c r="C562" s="6"/>
      <c r="D562" s="6"/>
      <c r="E562" s="6"/>
      <c r="F562" s="6"/>
      <c r="G562" s="6"/>
      <c r="H562" s="23">
        <f t="shared" si="53"/>
        <v>500000</v>
      </c>
      <c r="J562">
        <v>552</v>
      </c>
      <c r="K562" s="4">
        <f t="shared" si="54"/>
        <v>0</v>
      </c>
      <c r="L562" s="4">
        <f t="shared" si="55"/>
        <v>0</v>
      </c>
      <c r="M562" s="4">
        <f t="shared" si="56"/>
        <v>0</v>
      </c>
      <c r="N562" s="4">
        <f t="shared" si="57"/>
        <v>0</v>
      </c>
      <c r="O562" s="4">
        <f t="shared" si="58"/>
        <v>0</v>
      </c>
    </row>
    <row r="563" spans="2:15" x14ac:dyDescent="0.3">
      <c r="B563">
        <v>554</v>
      </c>
      <c r="C563" s="6"/>
      <c r="D563" s="6"/>
      <c r="E563" s="6"/>
      <c r="F563" s="6"/>
      <c r="G563" s="6"/>
      <c r="H563" s="23">
        <f t="shared" si="53"/>
        <v>500000</v>
      </c>
      <c r="J563">
        <v>553</v>
      </c>
      <c r="K563" s="4">
        <f t="shared" si="54"/>
        <v>0</v>
      </c>
      <c r="L563" s="4">
        <f t="shared" si="55"/>
        <v>0</v>
      </c>
      <c r="M563" s="4">
        <f t="shared" si="56"/>
        <v>0</v>
      </c>
      <c r="N563" s="4">
        <f t="shared" si="57"/>
        <v>0</v>
      </c>
      <c r="O563" s="4">
        <f t="shared" si="58"/>
        <v>0</v>
      </c>
    </row>
    <row r="564" spans="2:15" x14ac:dyDescent="0.3">
      <c r="B564">
        <v>555</v>
      </c>
      <c r="C564" s="6"/>
      <c r="D564" s="6"/>
      <c r="E564" s="6"/>
      <c r="F564" s="6"/>
      <c r="G564" s="6"/>
      <c r="H564" s="23">
        <f t="shared" si="53"/>
        <v>500000</v>
      </c>
      <c r="J564">
        <v>554</v>
      </c>
      <c r="K564" s="4">
        <f t="shared" si="54"/>
        <v>0</v>
      </c>
      <c r="L564" s="4">
        <f t="shared" si="55"/>
        <v>0</v>
      </c>
      <c r="M564" s="4">
        <f t="shared" si="56"/>
        <v>0</v>
      </c>
      <c r="N564" s="4">
        <f t="shared" si="57"/>
        <v>0</v>
      </c>
      <c r="O564" s="4">
        <f t="shared" si="58"/>
        <v>0</v>
      </c>
    </row>
    <row r="565" spans="2:15" x14ac:dyDescent="0.3">
      <c r="B565">
        <v>556</v>
      </c>
      <c r="C565" s="6"/>
      <c r="D565" s="6"/>
      <c r="E565" s="6"/>
      <c r="F565" s="6"/>
      <c r="G565" s="6"/>
      <c r="H565" s="23">
        <f t="shared" si="53"/>
        <v>500000</v>
      </c>
      <c r="J565">
        <v>555</v>
      </c>
      <c r="K565" s="4">
        <f t="shared" si="54"/>
        <v>0</v>
      </c>
      <c r="L565" s="4">
        <f t="shared" si="55"/>
        <v>0</v>
      </c>
      <c r="M565" s="4">
        <f t="shared" si="56"/>
        <v>0</v>
      </c>
      <c r="N565" s="4">
        <f t="shared" si="57"/>
        <v>0</v>
      </c>
      <c r="O565" s="4">
        <f t="shared" si="58"/>
        <v>0</v>
      </c>
    </row>
    <row r="566" spans="2:15" x14ac:dyDescent="0.3">
      <c r="B566">
        <v>557</v>
      </c>
      <c r="C566" s="6"/>
      <c r="D566" s="6"/>
      <c r="E566" s="6"/>
      <c r="F566" s="6"/>
      <c r="G566" s="6"/>
      <c r="H566" s="23">
        <f t="shared" si="53"/>
        <v>500000</v>
      </c>
      <c r="J566">
        <v>556</v>
      </c>
      <c r="K566" s="4">
        <f t="shared" si="54"/>
        <v>0</v>
      </c>
      <c r="L566" s="4">
        <f t="shared" si="55"/>
        <v>0</v>
      </c>
      <c r="M566" s="4">
        <f t="shared" si="56"/>
        <v>0</v>
      </c>
      <c r="N566" s="4">
        <f t="shared" si="57"/>
        <v>0</v>
      </c>
      <c r="O566" s="4">
        <f t="shared" si="58"/>
        <v>0</v>
      </c>
    </row>
    <row r="567" spans="2:15" x14ac:dyDescent="0.3">
      <c r="B567">
        <v>558</v>
      </c>
      <c r="C567" s="6"/>
      <c r="D567" s="6"/>
      <c r="E567" s="6"/>
      <c r="F567" s="6"/>
      <c r="G567" s="6"/>
      <c r="H567" s="23">
        <f t="shared" si="53"/>
        <v>500000</v>
      </c>
      <c r="J567">
        <v>557</v>
      </c>
      <c r="K567" s="4">
        <f t="shared" si="54"/>
        <v>0</v>
      </c>
      <c r="L567" s="4">
        <f t="shared" si="55"/>
        <v>0</v>
      </c>
      <c r="M567" s="4">
        <f t="shared" si="56"/>
        <v>0</v>
      </c>
      <c r="N567" s="4">
        <f t="shared" si="57"/>
        <v>0</v>
      </c>
      <c r="O567" s="4">
        <f t="shared" si="58"/>
        <v>0</v>
      </c>
    </row>
    <row r="568" spans="2:15" x14ac:dyDescent="0.3">
      <c r="B568">
        <v>559</v>
      </c>
      <c r="C568" s="6"/>
      <c r="D568" s="6"/>
      <c r="E568" s="6"/>
      <c r="F568" s="6"/>
      <c r="G568" s="6"/>
      <c r="H568" s="23">
        <f t="shared" si="53"/>
        <v>500000</v>
      </c>
      <c r="J568">
        <v>558</v>
      </c>
      <c r="K568" s="4">
        <f t="shared" si="54"/>
        <v>0</v>
      </c>
      <c r="L568" s="4">
        <f t="shared" si="55"/>
        <v>0</v>
      </c>
      <c r="M568" s="4">
        <f t="shared" si="56"/>
        <v>0</v>
      </c>
      <c r="N568" s="4">
        <f t="shared" si="57"/>
        <v>0</v>
      </c>
      <c r="O568" s="4">
        <f t="shared" si="58"/>
        <v>0</v>
      </c>
    </row>
    <row r="569" spans="2:15" x14ac:dyDescent="0.3">
      <c r="B569">
        <v>560</v>
      </c>
      <c r="C569" s="6"/>
      <c r="D569" s="6"/>
      <c r="E569" s="6"/>
      <c r="F569" s="6"/>
      <c r="G569" s="6"/>
      <c r="H569" s="23">
        <f t="shared" si="53"/>
        <v>500000</v>
      </c>
      <c r="J569">
        <v>559</v>
      </c>
      <c r="K569" s="4">
        <f t="shared" si="54"/>
        <v>0</v>
      </c>
      <c r="L569" s="4">
        <f t="shared" si="55"/>
        <v>0</v>
      </c>
      <c r="M569" s="4">
        <f t="shared" si="56"/>
        <v>0</v>
      </c>
      <c r="N569" s="4">
        <f t="shared" si="57"/>
        <v>0</v>
      </c>
      <c r="O569" s="4">
        <f t="shared" si="58"/>
        <v>0</v>
      </c>
    </row>
    <row r="570" spans="2:15" x14ac:dyDescent="0.3">
      <c r="B570">
        <v>561</v>
      </c>
      <c r="C570" s="6"/>
      <c r="D570" s="6"/>
      <c r="E570" s="6"/>
      <c r="F570" s="6"/>
      <c r="G570" s="6"/>
      <c r="H570" s="23">
        <f t="shared" si="53"/>
        <v>500000</v>
      </c>
      <c r="J570">
        <v>560</v>
      </c>
      <c r="K570" s="4">
        <f t="shared" si="54"/>
        <v>0</v>
      </c>
      <c r="L570" s="4">
        <f t="shared" si="55"/>
        <v>0</v>
      </c>
      <c r="M570" s="4">
        <f t="shared" si="56"/>
        <v>0</v>
      </c>
      <c r="N570" s="4">
        <f t="shared" si="57"/>
        <v>0</v>
      </c>
      <c r="O570" s="4">
        <f t="shared" si="58"/>
        <v>0</v>
      </c>
    </row>
    <row r="571" spans="2:15" x14ac:dyDescent="0.3">
      <c r="B571">
        <v>562</v>
      </c>
      <c r="C571" s="6"/>
      <c r="D571" s="6"/>
      <c r="E571" s="6"/>
      <c r="F571" s="6"/>
      <c r="G571" s="6"/>
      <c r="H571" s="23">
        <f t="shared" si="53"/>
        <v>500000</v>
      </c>
      <c r="J571">
        <v>561</v>
      </c>
      <c r="K571" s="4">
        <f t="shared" si="54"/>
        <v>0</v>
      </c>
      <c r="L571" s="4">
        <f t="shared" si="55"/>
        <v>0</v>
      </c>
      <c r="M571" s="4">
        <f t="shared" si="56"/>
        <v>0</v>
      </c>
      <c r="N571" s="4">
        <f t="shared" si="57"/>
        <v>0</v>
      </c>
      <c r="O571" s="4">
        <f t="shared" si="58"/>
        <v>0</v>
      </c>
    </row>
    <row r="572" spans="2:15" x14ac:dyDescent="0.3">
      <c r="B572">
        <v>563</v>
      </c>
      <c r="C572" s="6"/>
      <c r="D572" s="6"/>
      <c r="E572" s="6"/>
      <c r="F572" s="6"/>
      <c r="G572" s="6"/>
      <c r="H572" s="23">
        <f t="shared" si="53"/>
        <v>500000</v>
      </c>
      <c r="J572">
        <v>562</v>
      </c>
      <c r="K572" s="4">
        <f t="shared" si="54"/>
        <v>0</v>
      </c>
      <c r="L572" s="4">
        <f t="shared" si="55"/>
        <v>0</v>
      </c>
      <c r="M572" s="4">
        <f t="shared" si="56"/>
        <v>0</v>
      </c>
      <c r="N572" s="4">
        <f t="shared" si="57"/>
        <v>0</v>
      </c>
      <c r="O572" s="4">
        <f t="shared" si="58"/>
        <v>0</v>
      </c>
    </row>
    <row r="573" spans="2:15" x14ac:dyDescent="0.3">
      <c r="B573">
        <v>564</v>
      </c>
      <c r="C573" s="6"/>
      <c r="D573" s="6"/>
      <c r="E573" s="6"/>
      <c r="F573" s="6"/>
      <c r="G573" s="6"/>
      <c r="H573" s="23">
        <f t="shared" si="53"/>
        <v>500000</v>
      </c>
      <c r="J573">
        <v>563</v>
      </c>
      <c r="K573" s="4">
        <f t="shared" si="54"/>
        <v>0</v>
      </c>
      <c r="L573" s="4">
        <f t="shared" si="55"/>
        <v>0</v>
      </c>
      <c r="M573" s="4">
        <f t="shared" si="56"/>
        <v>0</v>
      </c>
      <c r="N573" s="4">
        <f t="shared" si="57"/>
        <v>0</v>
      </c>
      <c r="O573" s="4">
        <f t="shared" si="58"/>
        <v>0</v>
      </c>
    </row>
    <row r="574" spans="2:15" x14ac:dyDescent="0.3">
      <c r="B574">
        <v>565</v>
      </c>
      <c r="C574" s="6"/>
      <c r="D574" s="6"/>
      <c r="E574" s="6"/>
      <c r="F574" s="6"/>
      <c r="G574" s="6"/>
      <c r="H574" s="23">
        <f t="shared" si="53"/>
        <v>500000</v>
      </c>
      <c r="J574">
        <v>564</v>
      </c>
      <c r="K574" s="4">
        <f t="shared" si="54"/>
        <v>0</v>
      </c>
      <c r="L574" s="4">
        <f t="shared" si="55"/>
        <v>0</v>
      </c>
      <c r="M574" s="4">
        <f t="shared" si="56"/>
        <v>0</v>
      </c>
      <c r="N574" s="4">
        <f t="shared" si="57"/>
        <v>0</v>
      </c>
      <c r="O574" s="4">
        <f t="shared" si="58"/>
        <v>0</v>
      </c>
    </row>
    <row r="575" spans="2:15" x14ac:dyDescent="0.3">
      <c r="B575">
        <v>566</v>
      </c>
      <c r="C575" s="6"/>
      <c r="D575" s="6"/>
      <c r="E575" s="6"/>
      <c r="F575" s="6"/>
      <c r="G575" s="6"/>
      <c r="H575" s="23">
        <f t="shared" si="53"/>
        <v>500000</v>
      </c>
      <c r="J575">
        <v>565</v>
      </c>
      <c r="K575" s="4">
        <f t="shared" si="54"/>
        <v>0</v>
      </c>
      <c r="L575" s="4">
        <f t="shared" si="55"/>
        <v>0</v>
      </c>
      <c r="M575" s="4">
        <f t="shared" si="56"/>
        <v>0</v>
      </c>
      <c r="N575" s="4">
        <f t="shared" si="57"/>
        <v>0</v>
      </c>
      <c r="O575" s="4">
        <f t="shared" si="58"/>
        <v>0</v>
      </c>
    </row>
    <row r="576" spans="2:15" x14ac:dyDescent="0.3">
      <c r="B576">
        <v>567</v>
      </c>
      <c r="C576" s="6"/>
      <c r="D576" s="6"/>
      <c r="E576" s="6"/>
      <c r="F576" s="6"/>
      <c r="G576" s="6"/>
      <c r="H576" s="23">
        <f t="shared" si="53"/>
        <v>500000</v>
      </c>
      <c r="J576">
        <v>566</v>
      </c>
      <c r="K576" s="4">
        <f t="shared" si="54"/>
        <v>0</v>
      </c>
      <c r="L576" s="4">
        <f t="shared" si="55"/>
        <v>0</v>
      </c>
      <c r="M576" s="4">
        <f t="shared" si="56"/>
        <v>0</v>
      </c>
      <c r="N576" s="4">
        <f t="shared" si="57"/>
        <v>0</v>
      </c>
      <c r="O576" s="4">
        <f t="shared" si="58"/>
        <v>0</v>
      </c>
    </row>
    <row r="577" spans="2:15" x14ac:dyDescent="0.3">
      <c r="B577">
        <v>568</v>
      </c>
      <c r="C577" s="6"/>
      <c r="D577" s="6"/>
      <c r="E577" s="6"/>
      <c r="F577" s="6"/>
      <c r="G577" s="6"/>
      <c r="H577" s="23">
        <f t="shared" si="53"/>
        <v>500000</v>
      </c>
      <c r="J577">
        <v>567</v>
      </c>
      <c r="K577" s="4">
        <f t="shared" si="54"/>
        <v>0</v>
      </c>
      <c r="L577" s="4">
        <f t="shared" si="55"/>
        <v>0</v>
      </c>
      <c r="M577" s="4">
        <f t="shared" si="56"/>
        <v>0</v>
      </c>
      <c r="N577" s="4">
        <f t="shared" si="57"/>
        <v>0</v>
      </c>
      <c r="O577" s="4">
        <f t="shared" si="58"/>
        <v>0</v>
      </c>
    </row>
    <row r="578" spans="2:15" x14ac:dyDescent="0.3">
      <c r="B578">
        <v>569</v>
      </c>
      <c r="C578" s="6"/>
      <c r="D578" s="6"/>
      <c r="E578" s="6"/>
      <c r="F578" s="6"/>
      <c r="G578" s="6"/>
      <c r="H578" s="23">
        <f t="shared" si="53"/>
        <v>500000</v>
      </c>
      <c r="J578">
        <v>568</v>
      </c>
      <c r="K578" s="4">
        <f t="shared" si="54"/>
        <v>0</v>
      </c>
      <c r="L578" s="4">
        <f t="shared" si="55"/>
        <v>0</v>
      </c>
      <c r="M578" s="4">
        <f t="shared" si="56"/>
        <v>0</v>
      </c>
      <c r="N578" s="4">
        <f t="shared" si="57"/>
        <v>0</v>
      </c>
      <c r="O578" s="4">
        <f t="shared" si="58"/>
        <v>0</v>
      </c>
    </row>
    <row r="579" spans="2:15" x14ac:dyDescent="0.3">
      <c r="B579">
        <v>570</v>
      </c>
      <c r="C579" s="6"/>
      <c r="D579" s="6"/>
      <c r="E579" s="6"/>
      <c r="F579" s="6"/>
      <c r="G579" s="6"/>
      <c r="H579" s="23">
        <f t="shared" si="53"/>
        <v>500000</v>
      </c>
      <c r="J579">
        <v>569</v>
      </c>
      <c r="K579" s="4">
        <f t="shared" si="54"/>
        <v>0</v>
      </c>
      <c r="L579" s="4">
        <f t="shared" si="55"/>
        <v>0</v>
      </c>
      <c r="M579" s="4">
        <f t="shared" si="56"/>
        <v>0</v>
      </c>
      <c r="N579" s="4">
        <f t="shared" si="57"/>
        <v>0</v>
      </c>
      <c r="O579" s="4">
        <f t="shared" si="58"/>
        <v>0</v>
      </c>
    </row>
    <row r="580" spans="2:15" x14ac:dyDescent="0.3">
      <c r="B580">
        <v>571</v>
      </c>
      <c r="C580" s="6"/>
      <c r="D580" s="6"/>
      <c r="E580" s="6"/>
      <c r="F580" s="6"/>
      <c r="G580" s="6"/>
      <c r="H580" s="23">
        <f t="shared" si="53"/>
        <v>500000</v>
      </c>
      <c r="J580">
        <v>570</v>
      </c>
      <c r="K580" s="4">
        <f t="shared" si="54"/>
        <v>0</v>
      </c>
      <c r="L580" s="4">
        <f t="shared" si="55"/>
        <v>0</v>
      </c>
      <c r="M580" s="4">
        <f t="shared" si="56"/>
        <v>0</v>
      </c>
      <c r="N580" s="4">
        <f t="shared" si="57"/>
        <v>0</v>
      </c>
      <c r="O580" s="4">
        <f t="shared" si="58"/>
        <v>0</v>
      </c>
    </row>
    <row r="581" spans="2:15" x14ac:dyDescent="0.3">
      <c r="B581">
        <v>572</v>
      </c>
      <c r="C581" s="6"/>
      <c r="D581" s="6"/>
      <c r="E581" s="6"/>
      <c r="F581" s="6"/>
      <c r="G581" s="6"/>
      <c r="H581" s="23">
        <f t="shared" si="53"/>
        <v>500000</v>
      </c>
      <c r="J581">
        <v>571</v>
      </c>
      <c r="K581" s="4">
        <f t="shared" si="54"/>
        <v>0</v>
      </c>
      <c r="L581" s="4">
        <f t="shared" si="55"/>
        <v>0</v>
      </c>
      <c r="M581" s="4">
        <f t="shared" si="56"/>
        <v>0</v>
      </c>
      <c r="N581" s="4">
        <f t="shared" si="57"/>
        <v>0</v>
      </c>
      <c r="O581" s="4">
        <f t="shared" si="58"/>
        <v>0</v>
      </c>
    </row>
    <row r="582" spans="2:15" x14ac:dyDescent="0.3">
      <c r="B582">
        <v>573</v>
      </c>
      <c r="C582" s="6"/>
      <c r="D582" s="6"/>
      <c r="E582" s="6"/>
      <c r="F582" s="6"/>
      <c r="G582" s="6"/>
      <c r="H582" s="23">
        <f t="shared" ref="H582:H608" si="59">F582+H581</f>
        <v>500000</v>
      </c>
      <c r="J582">
        <v>572</v>
      </c>
      <c r="K582" s="4">
        <f t="shared" si="54"/>
        <v>0</v>
      </c>
      <c r="L582" s="4">
        <f t="shared" si="55"/>
        <v>0</v>
      </c>
      <c r="M582" s="4">
        <f t="shared" si="56"/>
        <v>0</v>
      </c>
      <c r="N582" s="4">
        <f t="shared" si="57"/>
        <v>0</v>
      </c>
      <c r="O582" s="4">
        <f t="shared" si="58"/>
        <v>0</v>
      </c>
    </row>
    <row r="583" spans="2:15" x14ac:dyDescent="0.3">
      <c r="B583">
        <v>574</v>
      </c>
      <c r="C583" s="6"/>
      <c r="D583" s="6"/>
      <c r="E583" s="6"/>
      <c r="F583" s="6"/>
      <c r="G583" s="6"/>
      <c r="H583" s="23">
        <f t="shared" si="59"/>
        <v>500000</v>
      </c>
      <c r="J583">
        <v>573</v>
      </c>
      <c r="K583" s="4">
        <f t="shared" si="54"/>
        <v>0</v>
      </c>
      <c r="L583" s="4">
        <f t="shared" si="55"/>
        <v>0</v>
      </c>
      <c r="M583" s="4">
        <f t="shared" si="56"/>
        <v>0</v>
      </c>
      <c r="N583" s="4">
        <f t="shared" si="57"/>
        <v>0</v>
      </c>
      <c r="O583" s="4">
        <f t="shared" si="58"/>
        <v>0</v>
      </c>
    </row>
    <row r="584" spans="2:15" x14ac:dyDescent="0.3">
      <c r="B584">
        <v>575</v>
      </c>
      <c r="C584" s="6"/>
      <c r="D584" s="6"/>
      <c r="E584" s="6"/>
      <c r="F584" s="6"/>
      <c r="G584" s="6"/>
      <c r="H584" s="23">
        <f t="shared" si="59"/>
        <v>500000</v>
      </c>
      <c r="J584">
        <v>574</v>
      </c>
      <c r="K584" s="4">
        <f t="shared" si="54"/>
        <v>0</v>
      </c>
      <c r="L584" s="4">
        <f t="shared" si="55"/>
        <v>0</v>
      </c>
      <c r="M584" s="4">
        <f t="shared" si="56"/>
        <v>0</v>
      </c>
      <c r="N584" s="4">
        <f t="shared" si="57"/>
        <v>0</v>
      </c>
      <c r="O584" s="4">
        <f t="shared" si="58"/>
        <v>0</v>
      </c>
    </row>
    <row r="585" spans="2:15" x14ac:dyDescent="0.3">
      <c r="B585">
        <v>576</v>
      </c>
      <c r="C585" s="6"/>
      <c r="D585" s="6"/>
      <c r="E585" s="6"/>
      <c r="F585" s="6"/>
      <c r="G585" s="6"/>
      <c r="H585" s="23">
        <f t="shared" si="59"/>
        <v>500000</v>
      </c>
      <c r="J585">
        <v>575</v>
      </c>
      <c r="K585" s="4">
        <f t="shared" si="54"/>
        <v>0</v>
      </c>
      <c r="L585" s="4">
        <f t="shared" si="55"/>
        <v>0</v>
      </c>
      <c r="M585" s="4">
        <f t="shared" si="56"/>
        <v>0</v>
      </c>
      <c r="N585" s="4">
        <f t="shared" si="57"/>
        <v>0</v>
      </c>
      <c r="O585" s="4">
        <f t="shared" si="58"/>
        <v>0</v>
      </c>
    </row>
    <row r="586" spans="2:15" x14ac:dyDescent="0.3">
      <c r="B586">
        <v>577</v>
      </c>
      <c r="C586" s="6"/>
      <c r="D586" s="6"/>
      <c r="E586" s="6"/>
      <c r="F586" s="6"/>
      <c r="G586" s="6"/>
      <c r="H586" s="23">
        <f t="shared" si="59"/>
        <v>500000</v>
      </c>
      <c r="J586">
        <v>576</v>
      </c>
      <c r="K586" s="4">
        <f t="shared" si="54"/>
        <v>0</v>
      </c>
      <c r="L586" s="4">
        <f t="shared" si="55"/>
        <v>0</v>
      </c>
      <c r="M586" s="4">
        <f t="shared" si="56"/>
        <v>0</v>
      </c>
      <c r="N586" s="4">
        <f t="shared" si="57"/>
        <v>0</v>
      </c>
      <c r="O586" s="4">
        <f t="shared" si="58"/>
        <v>0</v>
      </c>
    </row>
    <row r="587" spans="2:15" x14ac:dyDescent="0.3">
      <c r="B587">
        <v>578</v>
      </c>
      <c r="C587" s="6"/>
      <c r="D587" s="6"/>
      <c r="E587" s="6"/>
      <c r="F587" s="6"/>
      <c r="G587" s="6"/>
      <c r="H587" s="23">
        <f t="shared" si="59"/>
        <v>500000</v>
      </c>
      <c r="J587">
        <v>577</v>
      </c>
      <c r="K587" s="4">
        <f t="shared" si="54"/>
        <v>0</v>
      </c>
      <c r="L587" s="4">
        <f t="shared" si="55"/>
        <v>0</v>
      </c>
      <c r="M587" s="4">
        <f t="shared" si="56"/>
        <v>0</v>
      </c>
      <c r="N587" s="4">
        <f t="shared" si="57"/>
        <v>0</v>
      </c>
      <c r="O587" s="4">
        <f t="shared" si="58"/>
        <v>0</v>
      </c>
    </row>
    <row r="588" spans="2:15" x14ac:dyDescent="0.3">
      <c r="B588">
        <v>579</v>
      </c>
      <c r="C588" s="6"/>
      <c r="D588" s="6"/>
      <c r="E588" s="6"/>
      <c r="F588" s="6"/>
      <c r="G588" s="6"/>
      <c r="H588" s="23">
        <f t="shared" si="59"/>
        <v>500000</v>
      </c>
      <c r="J588">
        <v>578</v>
      </c>
      <c r="K588" s="4">
        <f t="shared" ref="K588:K610" si="60">IF(J588&gt;($M$3+$F$3),L588+M588,$C$5)</f>
        <v>0</v>
      </c>
      <c r="L588" s="4">
        <f t="shared" ref="L588:L610" si="61">O587*$C$3</f>
        <v>0</v>
      </c>
      <c r="M588" s="4">
        <f t="shared" ref="M588:M610" si="62">IF(J588&lt;($M$3+$F$3),K588-L588,O587)</f>
        <v>0</v>
      </c>
      <c r="N588" s="4">
        <f t="shared" ref="N588:N610" si="63">IF(B587=$F$3,$F$2,0)</f>
        <v>0</v>
      </c>
      <c r="O588" s="4">
        <f t="shared" ref="O588:O610" si="64">O587-M588-N588</f>
        <v>0</v>
      </c>
    </row>
    <row r="589" spans="2:15" x14ac:dyDescent="0.3">
      <c r="B589">
        <v>580</v>
      </c>
      <c r="C589" s="6"/>
      <c r="D589" s="6"/>
      <c r="E589" s="6"/>
      <c r="F589" s="6"/>
      <c r="G589" s="6"/>
      <c r="H589" s="23">
        <f t="shared" si="59"/>
        <v>500000</v>
      </c>
      <c r="J589">
        <v>579</v>
      </c>
      <c r="K589" s="4">
        <f t="shared" si="60"/>
        <v>0</v>
      </c>
      <c r="L589" s="4">
        <f t="shared" si="61"/>
        <v>0</v>
      </c>
      <c r="M589" s="4">
        <f t="shared" si="62"/>
        <v>0</v>
      </c>
      <c r="N589" s="4">
        <f t="shared" si="63"/>
        <v>0</v>
      </c>
      <c r="O589" s="4">
        <f t="shared" si="64"/>
        <v>0</v>
      </c>
    </row>
    <row r="590" spans="2:15" x14ac:dyDescent="0.3">
      <c r="B590">
        <v>581</v>
      </c>
      <c r="C590" s="6"/>
      <c r="D590" s="6"/>
      <c r="E590" s="6"/>
      <c r="F590" s="6"/>
      <c r="G590" s="6"/>
      <c r="H590" s="23">
        <f t="shared" si="59"/>
        <v>500000</v>
      </c>
      <c r="J590">
        <v>580</v>
      </c>
      <c r="K590" s="4">
        <f t="shared" si="60"/>
        <v>0</v>
      </c>
      <c r="L590" s="4">
        <f t="shared" si="61"/>
        <v>0</v>
      </c>
      <c r="M590" s="4">
        <f t="shared" si="62"/>
        <v>0</v>
      </c>
      <c r="N590" s="4">
        <f t="shared" si="63"/>
        <v>0</v>
      </c>
      <c r="O590" s="4">
        <f t="shared" si="64"/>
        <v>0</v>
      </c>
    </row>
    <row r="591" spans="2:15" x14ac:dyDescent="0.3">
      <c r="B591">
        <v>582</v>
      </c>
      <c r="C591" s="6"/>
      <c r="D591" s="6"/>
      <c r="E591" s="6"/>
      <c r="F591" s="6"/>
      <c r="G591" s="6"/>
      <c r="H591" s="23">
        <f t="shared" si="59"/>
        <v>500000</v>
      </c>
      <c r="J591">
        <v>581</v>
      </c>
      <c r="K591" s="4">
        <f t="shared" si="60"/>
        <v>0</v>
      </c>
      <c r="L591" s="4">
        <f t="shared" si="61"/>
        <v>0</v>
      </c>
      <c r="M591" s="4">
        <f t="shared" si="62"/>
        <v>0</v>
      </c>
      <c r="N591" s="4">
        <f t="shared" si="63"/>
        <v>0</v>
      </c>
      <c r="O591" s="4">
        <f t="shared" si="64"/>
        <v>0</v>
      </c>
    </row>
    <row r="592" spans="2:15" x14ac:dyDescent="0.3">
      <c r="B592">
        <v>583</v>
      </c>
      <c r="C592" s="6"/>
      <c r="D592" s="6"/>
      <c r="E592" s="6"/>
      <c r="F592" s="6"/>
      <c r="G592" s="6"/>
      <c r="H592" s="23">
        <f t="shared" si="59"/>
        <v>500000</v>
      </c>
      <c r="J592">
        <v>582</v>
      </c>
      <c r="K592" s="4">
        <f t="shared" si="60"/>
        <v>0</v>
      </c>
      <c r="L592" s="4">
        <f t="shared" si="61"/>
        <v>0</v>
      </c>
      <c r="M592" s="4">
        <f t="shared" si="62"/>
        <v>0</v>
      </c>
      <c r="N592" s="4">
        <f t="shared" si="63"/>
        <v>0</v>
      </c>
      <c r="O592" s="4">
        <f t="shared" si="64"/>
        <v>0</v>
      </c>
    </row>
    <row r="593" spans="2:15" x14ac:dyDescent="0.3">
      <c r="B593">
        <v>584</v>
      </c>
      <c r="C593" s="6"/>
      <c r="D593" s="6"/>
      <c r="E593" s="6"/>
      <c r="F593" s="6"/>
      <c r="G593" s="6"/>
      <c r="H593" s="23">
        <f t="shared" si="59"/>
        <v>500000</v>
      </c>
      <c r="J593">
        <v>583</v>
      </c>
      <c r="K593" s="4">
        <f t="shared" si="60"/>
        <v>0</v>
      </c>
      <c r="L593" s="4">
        <f t="shared" si="61"/>
        <v>0</v>
      </c>
      <c r="M593" s="4">
        <f t="shared" si="62"/>
        <v>0</v>
      </c>
      <c r="N593" s="4">
        <f t="shared" si="63"/>
        <v>0</v>
      </c>
      <c r="O593" s="4">
        <f t="shared" si="64"/>
        <v>0</v>
      </c>
    </row>
    <row r="594" spans="2:15" x14ac:dyDescent="0.3">
      <c r="B594">
        <v>585</v>
      </c>
      <c r="C594" s="6"/>
      <c r="D594" s="6"/>
      <c r="E594" s="6"/>
      <c r="F594" s="6"/>
      <c r="G594" s="6"/>
      <c r="H594" s="23">
        <f t="shared" si="59"/>
        <v>500000</v>
      </c>
      <c r="J594">
        <v>584</v>
      </c>
      <c r="K594" s="4">
        <f t="shared" si="60"/>
        <v>0</v>
      </c>
      <c r="L594" s="4">
        <f t="shared" si="61"/>
        <v>0</v>
      </c>
      <c r="M594" s="4">
        <f t="shared" si="62"/>
        <v>0</v>
      </c>
      <c r="N594" s="4">
        <f t="shared" si="63"/>
        <v>0</v>
      </c>
      <c r="O594" s="4">
        <f t="shared" si="64"/>
        <v>0</v>
      </c>
    </row>
    <row r="595" spans="2:15" x14ac:dyDescent="0.3">
      <c r="B595">
        <v>586</v>
      </c>
      <c r="C595" s="6"/>
      <c r="D595" s="6"/>
      <c r="E595" s="6"/>
      <c r="F595" s="6"/>
      <c r="G595" s="6"/>
      <c r="H595" s="23">
        <f t="shared" si="59"/>
        <v>500000</v>
      </c>
      <c r="J595">
        <v>585</v>
      </c>
      <c r="K595" s="4">
        <f t="shared" si="60"/>
        <v>0</v>
      </c>
      <c r="L595" s="4">
        <f t="shared" si="61"/>
        <v>0</v>
      </c>
      <c r="M595" s="4">
        <f t="shared" si="62"/>
        <v>0</v>
      </c>
      <c r="N595" s="4">
        <f t="shared" si="63"/>
        <v>0</v>
      </c>
      <c r="O595" s="4">
        <f t="shared" si="64"/>
        <v>0</v>
      </c>
    </row>
    <row r="596" spans="2:15" x14ac:dyDescent="0.3">
      <c r="B596">
        <v>587</v>
      </c>
      <c r="C596" s="6"/>
      <c r="D596" s="6"/>
      <c r="E596" s="6"/>
      <c r="F596" s="6"/>
      <c r="G596" s="6"/>
      <c r="H596" s="23">
        <f t="shared" si="59"/>
        <v>500000</v>
      </c>
      <c r="J596">
        <v>586</v>
      </c>
      <c r="K596" s="4">
        <f t="shared" si="60"/>
        <v>0</v>
      </c>
      <c r="L596" s="4">
        <f t="shared" si="61"/>
        <v>0</v>
      </c>
      <c r="M596" s="4">
        <f t="shared" si="62"/>
        <v>0</v>
      </c>
      <c r="N596" s="4">
        <f t="shared" si="63"/>
        <v>0</v>
      </c>
      <c r="O596" s="4">
        <f t="shared" si="64"/>
        <v>0</v>
      </c>
    </row>
    <row r="597" spans="2:15" x14ac:dyDescent="0.3">
      <c r="B597">
        <v>588</v>
      </c>
      <c r="C597" s="6"/>
      <c r="D597" s="6"/>
      <c r="E597" s="6"/>
      <c r="F597" s="6"/>
      <c r="G597" s="6"/>
      <c r="H597" s="23">
        <f t="shared" si="59"/>
        <v>500000</v>
      </c>
      <c r="J597">
        <v>587</v>
      </c>
      <c r="K597" s="4">
        <f t="shared" si="60"/>
        <v>0</v>
      </c>
      <c r="L597" s="4">
        <f t="shared" si="61"/>
        <v>0</v>
      </c>
      <c r="M597" s="4">
        <f t="shared" si="62"/>
        <v>0</v>
      </c>
      <c r="N597" s="4">
        <f t="shared" si="63"/>
        <v>0</v>
      </c>
      <c r="O597" s="4">
        <f t="shared" si="64"/>
        <v>0</v>
      </c>
    </row>
    <row r="598" spans="2:15" x14ac:dyDescent="0.3">
      <c r="B598">
        <v>589</v>
      </c>
      <c r="C598" s="6"/>
      <c r="D598" s="6"/>
      <c r="E598" s="6"/>
      <c r="F598" s="6"/>
      <c r="G598" s="6"/>
      <c r="H598" s="23">
        <f t="shared" si="59"/>
        <v>500000</v>
      </c>
      <c r="J598">
        <v>588</v>
      </c>
      <c r="K598" s="4">
        <f t="shared" si="60"/>
        <v>0</v>
      </c>
      <c r="L598" s="4">
        <f t="shared" si="61"/>
        <v>0</v>
      </c>
      <c r="M598" s="4">
        <f t="shared" si="62"/>
        <v>0</v>
      </c>
      <c r="N598" s="4">
        <f t="shared" si="63"/>
        <v>0</v>
      </c>
      <c r="O598" s="4">
        <f t="shared" si="64"/>
        <v>0</v>
      </c>
    </row>
    <row r="599" spans="2:15" x14ac:dyDescent="0.3">
      <c r="B599">
        <v>590</v>
      </c>
      <c r="C599" s="6"/>
      <c r="D599" s="6"/>
      <c r="E599" s="6"/>
      <c r="F599" s="6"/>
      <c r="G599" s="6"/>
      <c r="H599" s="23">
        <f t="shared" si="59"/>
        <v>500000</v>
      </c>
      <c r="J599">
        <v>589</v>
      </c>
      <c r="K599" s="4">
        <f t="shared" si="60"/>
        <v>0</v>
      </c>
      <c r="L599" s="4">
        <f t="shared" si="61"/>
        <v>0</v>
      </c>
      <c r="M599" s="4">
        <f t="shared" si="62"/>
        <v>0</v>
      </c>
      <c r="N599" s="4">
        <f t="shared" si="63"/>
        <v>0</v>
      </c>
      <c r="O599" s="4">
        <f t="shared" si="64"/>
        <v>0</v>
      </c>
    </row>
    <row r="600" spans="2:15" x14ac:dyDescent="0.3">
      <c r="B600">
        <v>591</v>
      </c>
      <c r="C600" s="6"/>
      <c r="D600" s="6"/>
      <c r="E600" s="6"/>
      <c r="F600" s="6"/>
      <c r="G600" s="6"/>
      <c r="H600" s="23">
        <f t="shared" si="59"/>
        <v>500000</v>
      </c>
      <c r="J600">
        <v>590</v>
      </c>
      <c r="K600" s="4">
        <f t="shared" si="60"/>
        <v>0</v>
      </c>
      <c r="L600" s="4">
        <f t="shared" si="61"/>
        <v>0</v>
      </c>
      <c r="M600" s="4">
        <f t="shared" si="62"/>
        <v>0</v>
      </c>
      <c r="N600" s="4">
        <f t="shared" si="63"/>
        <v>0</v>
      </c>
      <c r="O600" s="4">
        <f t="shared" si="64"/>
        <v>0</v>
      </c>
    </row>
    <row r="601" spans="2:15" x14ac:dyDescent="0.3">
      <c r="B601">
        <v>592</v>
      </c>
      <c r="C601" s="6"/>
      <c r="D601" s="6"/>
      <c r="E601" s="6"/>
      <c r="F601" s="6"/>
      <c r="G601" s="6"/>
      <c r="H601" s="23">
        <f t="shared" si="59"/>
        <v>500000</v>
      </c>
      <c r="J601">
        <v>591</v>
      </c>
      <c r="K601" s="4">
        <f t="shared" si="60"/>
        <v>0</v>
      </c>
      <c r="L601" s="4">
        <f t="shared" si="61"/>
        <v>0</v>
      </c>
      <c r="M601" s="4">
        <f t="shared" si="62"/>
        <v>0</v>
      </c>
      <c r="N601" s="4">
        <f t="shared" si="63"/>
        <v>0</v>
      </c>
      <c r="O601" s="4">
        <f t="shared" si="64"/>
        <v>0</v>
      </c>
    </row>
    <row r="602" spans="2:15" x14ac:dyDescent="0.3">
      <c r="B602">
        <v>593</v>
      </c>
      <c r="C602" s="6"/>
      <c r="D602" s="6"/>
      <c r="E602" s="6"/>
      <c r="F602" s="6"/>
      <c r="G602" s="6"/>
      <c r="H602" s="23">
        <f t="shared" si="59"/>
        <v>500000</v>
      </c>
      <c r="J602">
        <v>592</v>
      </c>
      <c r="K602" s="4">
        <f t="shared" si="60"/>
        <v>0</v>
      </c>
      <c r="L602" s="4">
        <f t="shared" si="61"/>
        <v>0</v>
      </c>
      <c r="M602" s="4">
        <f t="shared" si="62"/>
        <v>0</v>
      </c>
      <c r="N602" s="4">
        <f t="shared" si="63"/>
        <v>0</v>
      </c>
      <c r="O602" s="4">
        <f t="shared" si="64"/>
        <v>0</v>
      </c>
    </row>
    <row r="603" spans="2:15" x14ac:dyDescent="0.3">
      <c r="B603">
        <v>594</v>
      </c>
      <c r="C603" s="6"/>
      <c r="D603" s="6"/>
      <c r="E603" s="6"/>
      <c r="F603" s="6"/>
      <c r="G603" s="6"/>
      <c r="H603" s="23">
        <f t="shared" si="59"/>
        <v>500000</v>
      </c>
      <c r="J603">
        <v>593</v>
      </c>
      <c r="K603" s="4">
        <f t="shared" si="60"/>
        <v>0</v>
      </c>
      <c r="L603" s="4">
        <f t="shared" si="61"/>
        <v>0</v>
      </c>
      <c r="M603" s="4">
        <f t="shared" si="62"/>
        <v>0</v>
      </c>
      <c r="N603" s="4">
        <f t="shared" si="63"/>
        <v>0</v>
      </c>
      <c r="O603" s="4">
        <f t="shared" si="64"/>
        <v>0</v>
      </c>
    </row>
    <row r="604" spans="2:15" x14ac:dyDescent="0.3">
      <c r="B604">
        <v>595</v>
      </c>
      <c r="C604" s="6"/>
      <c r="D604" s="6"/>
      <c r="E604" s="6"/>
      <c r="F604" s="6"/>
      <c r="G604" s="6"/>
      <c r="H604" s="23">
        <f t="shared" si="59"/>
        <v>500000</v>
      </c>
      <c r="J604">
        <v>594</v>
      </c>
      <c r="K604" s="4">
        <f t="shared" si="60"/>
        <v>0</v>
      </c>
      <c r="L604" s="4">
        <f t="shared" si="61"/>
        <v>0</v>
      </c>
      <c r="M604" s="4">
        <f t="shared" si="62"/>
        <v>0</v>
      </c>
      <c r="N604" s="4">
        <f t="shared" si="63"/>
        <v>0</v>
      </c>
      <c r="O604" s="4">
        <f t="shared" si="64"/>
        <v>0</v>
      </c>
    </row>
    <row r="605" spans="2:15" x14ac:dyDescent="0.3">
      <c r="B605">
        <v>596</v>
      </c>
      <c r="C605" s="6"/>
      <c r="D605" s="6"/>
      <c r="E605" s="6"/>
      <c r="F605" s="6"/>
      <c r="G605" s="6"/>
      <c r="H605" s="23">
        <f t="shared" si="59"/>
        <v>500000</v>
      </c>
      <c r="J605">
        <v>595</v>
      </c>
      <c r="K605" s="4">
        <f t="shared" si="60"/>
        <v>0</v>
      </c>
      <c r="L605" s="4">
        <f t="shared" si="61"/>
        <v>0</v>
      </c>
      <c r="M605" s="4">
        <f t="shared" si="62"/>
        <v>0</v>
      </c>
      <c r="N605" s="4">
        <f t="shared" si="63"/>
        <v>0</v>
      </c>
      <c r="O605" s="4">
        <f t="shared" si="64"/>
        <v>0</v>
      </c>
    </row>
    <row r="606" spans="2:15" x14ac:dyDescent="0.3">
      <c r="B606">
        <v>597</v>
      </c>
      <c r="C606" s="6"/>
      <c r="D606" s="6"/>
      <c r="E606" s="6"/>
      <c r="F606" s="6"/>
      <c r="G606" s="6"/>
      <c r="H606" s="23">
        <f t="shared" si="59"/>
        <v>500000</v>
      </c>
      <c r="J606">
        <v>596</v>
      </c>
      <c r="K606" s="4">
        <f t="shared" si="60"/>
        <v>0</v>
      </c>
      <c r="L606" s="4">
        <f t="shared" si="61"/>
        <v>0</v>
      </c>
      <c r="M606" s="4">
        <f t="shared" si="62"/>
        <v>0</v>
      </c>
      <c r="N606" s="4">
        <f t="shared" si="63"/>
        <v>0</v>
      </c>
      <c r="O606" s="4">
        <f t="shared" si="64"/>
        <v>0</v>
      </c>
    </row>
    <row r="607" spans="2:15" x14ac:dyDescent="0.3">
      <c r="B607">
        <v>598</v>
      </c>
      <c r="C607" s="6"/>
      <c r="D607" s="6"/>
      <c r="E607" s="6"/>
      <c r="F607" s="6"/>
      <c r="G607" s="6"/>
      <c r="H607" s="23">
        <f t="shared" si="59"/>
        <v>500000</v>
      </c>
      <c r="J607">
        <v>597</v>
      </c>
      <c r="K607" s="4">
        <f t="shared" si="60"/>
        <v>0</v>
      </c>
      <c r="L607" s="4">
        <f t="shared" si="61"/>
        <v>0</v>
      </c>
      <c r="M607" s="4">
        <f t="shared" si="62"/>
        <v>0</v>
      </c>
      <c r="N607" s="4">
        <f t="shared" si="63"/>
        <v>0</v>
      </c>
      <c r="O607" s="4">
        <f t="shared" si="64"/>
        <v>0</v>
      </c>
    </row>
    <row r="608" spans="2:15" x14ac:dyDescent="0.3">
      <c r="B608">
        <v>599</v>
      </c>
      <c r="C608" s="6"/>
      <c r="D608" s="6"/>
      <c r="E608" s="6"/>
      <c r="F608" s="6"/>
      <c r="G608" s="6"/>
      <c r="H608" s="23">
        <f t="shared" si="59"/>
        <v>500000</v>
      </c>
      <c r="J608">
        <v>598</v>
      </c>
      <c r="K608" s="4">
        <f t="shared" si="60"/>
        <v>0</v>
      </c>
      <c r="L608" s="4">
        <f t="shared" si="61"/>
        <v>0</v>
      </c>
      <c r="M608" s="4">
        <f t="shared" si="62"/>
        <v>0</v>
      </c>
      <c r="N608" s="4">
        <f t="shared" si="63"/>
        <v>0</v>
      </c>
      <c r="O608" s="4">
        <f t="shared" si="64"/>
        <v>0</v>
      </c>
    </row>
    <row r="609" spans="2:15" x14ac:dyDescent="0.3">
      <c r="B609">
        <v>600</v>
      </c>
      <c r="C609" s="6"/>
      <c r="D609" s="6"/>
      <c r="E609" s="6"/>
      <c r="F609" s="6"/>
      <c r="G609" s="6"/>
      <c r="H609" s="23"/>
      <c r="J609">
        <v>599</v>
      </c>
      <c r="K609" s="4">
        <f t="shared" si="60"/>
        <v>0</v>
      </c>
      <c r="L609" s="4">
        <f t="shared" si="61"/>
        <v>0</v>
      </c>
      <c r="M609" s="4">
        <f t="shared" si="62"/>
        <v>0</v>
      </c>
      <c r="N609" s="4">
        <f t="shared" si="63"/>
        <v>0</v>
      </c>
      <c r="O609" s="4">
        <f t="shared" si="64"/>
        <v>0</v>
      </c>
    </row>
    <row r="610" spans="2:15" x14ac:dyDescent="0.3">
      <c r="J610">
        <v>600</v>
      </c>
      <c r="K610" s="4">
        <f t="shared" si="60"/>
        <v>0</v>
      </c>
      <c r="L610" s="4">
        <f t="shared" si="61"/>
        <v>0</v>
      </c>
      <c r="M610" s="4">
        <f t="shared" si="62"/>
        <v>0</v>
      </c>
      <c r="N610" s="4">
        <f t="shared" si="63"/>
        <v>0</v>
      </c>
      <c r="O610" s="4">
        <f t="shared" si="64"/>
        <v>0</v>
      </c>
    </row>
  </sheetData>
  <conditionalFormatting sqref="B9:H69 B71:H609 B70:C70 E70:H70">
    <cfRule type="expression" dxfId="4" priority="4">
      <formula>$B9&gt;$C$4</formula>
    </cfRule>
  </conditionalFormatting>
  <conditionalFormatting sqref="J10:O610">
    <cfRule type="expression" dxfId="3" priority="3">
      <formula>$J10&gt;$C$4</formula>
    </cfRule>
  </conditionalFormatting>
  <conditionalFormatting sqref="O3">
    <cfRule type="expression" dxfId="2" priority="2">
      <formula>$J11&gt;$O$3</formula>
    </cfRule>
  </conditionalFormatting>
  <conditionalFormatting sqref="J10:O610">
    <cfRule type="expression" dxfId="1" priority="1">
      <formula>$J10&gt;$O$3</formula>
    </cfRule>
  </conditionalFormatting>
  <conditionalFormatting sqref="I2">
    <cfRule type="expression" dxfId="0" priority="6">
      <formula>$B70&gt;$C$4</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Punto 1</vt:lpstr>
      <vt:lpstr>Punto 2</vt:lpstr>
      <vt:lpstr>Punto 3</vt:lpstr>
      <vt:lpstr>Punto 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NICOLÁS GONZÁLEZ</dc:creator>
  <cp:lastModifiedBy>NICOLÁS GONZÁLEZ</cp:lastModifiedBy>
  <dcterms:created xsi:type="dcterms:W3CDTF">2015-06-05T18:19:34Z</dcterms:created>
  <dcterms:modified xsi:type="dcterms:W3CDTF">2022-12-10T17:47:58Z</dcterms:modified>
</cp:coreProperties>
</file>